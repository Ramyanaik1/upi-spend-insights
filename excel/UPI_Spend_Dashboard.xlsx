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 Naik\upi-spend-insights\excel\"/>
    </mc:Choice>
  </mc:AlternateContent>
  <xr:revisionPtr revIDLastSave="0" documentId="13_ncr:9_{453D191F-5FC2-41FA-B647-D618AA9509EE}" xr6:coauthVersionLast="47" xr6:coauthVersionMax="47" xr10:uidLastSave="{00000000-0000-0000-0000-000000000000}"/>
  <bookViews>
    <workbookView xWindow="-108" yWindow="-108" windowWidth="23256" windowHeight="12456" xr2:uid="{4ECFF1DF-B792-45A6-AC49-5893D3D408DA}"/>
  </bookViews>
  <sheets>
    <sheet name="Monthly_Trend" sheetId="3" r:id="rId1"/>
    <sheet name="upi_transactions_for_excel" sheetId="1" r:id="rId2"/>
    <sheet name="Summary" sheetId="2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12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<sst xmlns="http://schemas.openxmlformats.org/spreadsheetml/2006/main" count="6867" uniqueCount="442">
  <si>
    <t>id</t>
  </si>
  <si>
    <t>date</t>
  </si>
  <si>
    <t>time</t>
  </si>
  <si>
    <t>category</t>
  </si>
  <si>
    <t>type</t>
  </si>
  <si>
    <t>amount</t>
  </si>
  <si>
    <t>counterparty</t>
  </si>
  <si>
    <t>month</t>
  </si>
  <si>
    <t>Person/Merchant Payment</t>
  </si>
  <si>
    <t>Debit</t>
  </si>
  <si>
    <t>Person_1</t>
  </si>
  <si>
    <t>2025-01</t>
  </si>
  <si>
    <t>Person_2</t>
  </si>
  <si>
    <t>Person_3</t>
  </si>
  <si>
    <t>Recharge</t>
  </si>
  <si>
    <t>Jio Prepaid Recharges</t>
  </si>
  <si>
    <t>UPI Lite Top-up</t>
  </si>
  <si>
    <t>Person_4</t>
  </si>
  <si>
    <t>Education/Fees</t>
  </si>
  <si>
    <t>Person_5</t>
  </si>
  <si>
    <t>Person_6</t>
  </si>
  <si>
    <t>Person_7</t>
  </si>
  <si>
    <t>Money Received</t>
  </si>
  <si>
    <t>Credit</t>
  </si>
  <si>
    <t>Person_8</t>
  </si>
  <si>
    <t>Person_9</t>
  </si>
  <si>
    <t>Person_10</t>
  </si>
  <si>
    <t>Shopping</t>
  </si>
  <si>
    <t>Flipkart</t>
  </si>
  <si>
    <t>Person_11</t>
  </si>
  <si>
    <t>Person_12</t>
  </si>
  <si>
    <t>Person_13</t>
  </si>
  <si>
    <t>Person_14</t>
  </si>
  <si>
    <t>Person_15</t>
  </si>
  <si>
    <t>Person_16</t>
  </si>
  <si>
    <t>Person_17</t>
  </si>
  <si>
    <t>Person_18</t>
  </si>
  <si>
    <t>Person_19</t>
  </si>
  <si>
    <t>Food &amp; Dining</t>
  </si>
  <si>
    <t>Person_20</t>
  </si>
  <si>
    <t>Person_21</t>
  </si>
  <si>
    <t>Person_22</t>
  </si>
  <si>
    <t>Person_23</t>
  </si>
  <si>
    <t>Person_24</t>
  </si>
  <si>
    <t>Person_25</t>
  </si>
  <si>
    <t>Person_26</t>
  </si>
  <si>
    <t>Person_27</t>
  </si>
  <si>
    <t>Person_28</t>
  </si>
  <si>
    <t>2025-02</t>
  </si>
  <si>
    <t>Others</t>
  </si>
  <si>
    <t>Person_29</t>
  </si>
  <si>
    <t>Person_30</t>
  </si>
  <si>
    <t>Person_31</t>
  </si>
  <si>
    <t>Person_32</t>
  </si>
  <si>
    <t>2025-03</t>
  </si>
  <si>
    <t>Person_33</t>
  </si>
  <si>
    <t>Person_34</t>
  </si>
  <si>
    <t>Person_35</t>
  </si>
  <si>
    <t>Person_36</t>
  </si>
  <si>
    <t>Person_37</t>
  </si>
  <si>
    <t>Person_38</t>
  </si>
  <si>
    <t>Person_39</t>
  </si>
  <si>
    <t>Person_40</t>
  </si>
  <si>
    <t>Person_41</t>
  </si>
  <si>
    <t>Person_42</t>
  </si>
  <si>
    <t>Person_43</t>
  </si>
  <si>
    <t>2025-04</t>
  </si>
  <si>
    <t>Person_44</t>
  </si>
  <si>
    <t>Person_45</t>
  </si>
  <si>
    <t>Person_46</t>
  </si>
  <si>
    <t>FLIPKART PAYMENTS</t>
  </si>
  <si>
    <t>Person_47</t>
  </si>
  <si>
    <t>Person_48</t>
  </si>
  <si>
    <t>Person_49</t>
  </si>
  <si>
    <t>Person_50</t>
  </si>
  <si>
    <t>Person_51</t>
  </si>
  <si>
    <t>Person_52</t>
  </si>
  <si>
    <t>Person_53</t>
  </si>
  <si>
    <t>Person_54</t>
  </si>
  <si>
    <t>Person_55</t>
  </si>
  <si>
    <t>Person_56</t>
  </si>
  <si>
    <t>Person_57</t>
  </si>
  <si>
    <t>Person_58</t>
  </si>
  <si>
    <t>Person_59</t>
  </si>
  <si>
    <t>Person_60</t>
  </si>
  <si>
    <t>Person_61</t>
  </si>
  <si>
    <t>Person_62</t>
  </si>
  <si>
    <t>Person_63</t>
  </si>
  <si>
    <t>Person_64</t>
  </si>
  <si>
    <t>Person_65</t>
  </si>
  <si>
    <t>Person_66</t>
  </si>
  <si>
    <t>Person_67</t>
  </si>
  <si>
    <t>Person_68</t>
  </si>
  <si>
    <t>Person_69</t>
  </si>
  <si>
    <t>Person_70</t>
  </si>
  <si>
    <t>Person_71</t>
  </si>
  <si>
    <t>2025-05</t>
  </si>
  <si>
    <t>Person_72</t>
  </si>
  <si>
    <t>Person_73</t>
  </si>
  <si>
    <t>Person_74</t>
  </si>
  <si>
    <t>Person_75</t>
  </si>
  <si>
    <t>Person_76</t>
  </si>
  <si>
    <t>Person_77</t>
  </si>
  <si>
    <t>Person_78</t>
  </si>
  <si>
    <t>Person_79</t>
  </si>
  <si>
    <t>Person_80</t>
  </si>
  <si>
    <t>Person_81</t>
  </si>
  <si>
    <t>Person_82</t>
  </si>
  <si>
    <t>Person_83</t>
  </si>
  <si>
    <t>Person_84</t>
  </si>
  <si>
    <t>Person_85</t>
  </si>
  <si>
    <t>Person_86</t>
  </si>
  <si>
    <t>Person_87</t>
  </si>
  <si>
    <t>Person_88</t>
  </si>
  <si>
    <t>Person_89</t>
  </si>
  <si>
    <t>Person_90</t>
  </si>
  <si>
    <t>2025-06</t>
  </si>
  <si>
    <t>Person_91</t>
  </si>
  <si>
    <t>Person_92</t>
  </si>
  <si>
    <t>Person_93</t>
  </si>
  <si>
    <t>Person_94</t>
  </si>
  <si>
    <t>Person_95</t>
  </si>
  <si>
    <t>Person_96</t>
  </si>
  <si>
    <t>Person_97</t>
  </si>
  <si>
    <t>Person_98</t>
  </si>
  <si>
    <t>Person_99</t>
  </si>
  <si>
    <t>Person_100</t>
  </si>
  <si>
    <t>Person_101</t>
  </si>
  <si>
    <t>Person_102</t>
  </si>
  <si>
    <t>Person_103</t>
  </si>
  <si>
    <t>Person_104</t>
  </si>
  <si>
    <t>2025-07</t>
  </si>
  <si>
    <t>Person_105</t>
  </si>
  <si>
    <t>Person_106</t>
  </si>
  <si>
    <t>Person_107</t>
  </si>
  <si>
    <t>Person_108</t>
  </si>
  <si>
    <t>Person_109</t>
  </si>
  <si>
    <t>Person_110</t>
  </si>
  <si>
    <t>Person_111</t>
  </si>
  <si>
    <t>Person_112</t>
  </si>
  <si>
    <t>Person_113</t>
  </si>
  <si>
    <t>Person_114</t>
  </si>
  <si>
    <t>Person_115</t>
  </si>
  <si>
    <t>Person_116</t>
  </si>
  <si>
    <t>Person_117</t>
  </si>
  <si>
    <t>Person_118</t>
  </si>
  <si>
    <t>Person_119</t>
  </si>
  <si>
    <t>Person_120</t>
  </si>
  <si>
    <t>Person_121</t>
  </si>
  <si>
    <t>Person_122</t>
  </si>
  <si>
    <t>Person_123</t>
  </si>
  <si>
    <t>Person_124</t>
  </si>
  <si>
    <t>Person_125</t>
  </si>
  <si>
    <t>Person_126</t>
  </si>
  <si>
    <t>2025-08</t>
  </si>
  <si>
    <t>Person_127</t>
  </si>
  <si>
    <t>Person_128</t>
  </si>
  <si>
    <t>Person_129</t>
  </si>
  <si>
    <t>Person_130</t>
  </si>
  <si>
    <t>Person_131</t>
  </si>
  <si>
    <t>Person_132</t>
  </si>
  <si>
    <t>Person_133</t>
  </si>
  <si>
    <t>Person_134</t>
  </si>
  <si>
    <t>Person_135</t>
  </si>
  <si>
    <t>Person_136</t>
  </si>
  <si>
    <t>Person_137</t>
  </si>
  <si>
    <t>Person_138</t>
  </si>
  <si>
    <t>Person_139</t>
  </si>
  <si>
    <t>Person_140</t>
  </si>
  <si>
    <t>Person_141</t>
  </si>
  <si>
    <t>Person_142</t>
  </si>
  <si>
    <t>Person_143</t>
  </si>
  <si>
    <t>Person_144</t>
  </si>
  <si>
    <t>Person_145</t>
  </si>
  <si>
    <t>Person_146</t>
  </si>
  <si>
    <t>Person_147</t>
  </si>
  <si>
    <t>Person_148</t>
  </si>
  <si>
    <t>Person_149</t>
  </si>
  <si>
    <t>Person_150</t>
  </si>
  <si>
    <t>Person_151</t>
  </si>
  <si>
    <t>Person_152</t>
  </si>
  <si>
    <t>Person_153</t>
  </si>
  <si>
    <t>2025-09</t>
  </si>
  <si>
    <t>Person_154</t>
  </si>
  <si>
    <t>Person_155</t>
  </si>
  <si>
    <t>Person_156</t>
  </si>
  <si>
    <t>Person_157</t>
  </si>
  <si>
    <t>Person_158</t>
  </si>
  <si>
    <t>Person_159</t>
  </si>
  <si>
    <t>Person_160</t>
  </si>
  <si>
    <t>Person_161</t>
  </si>
  <si>
    <t>Person_162</t>
  </si>
  <si>
    <t>Person_163</t>
  </si>
  <si>
    <t>Person_164</t>
  </si>
  <si>
    <t>Person_165</t>
  </si>
  <si>
    <t>Person_166</t>
  </si>
  <si>
    <t>Person_167</t>
  </si>
  <si>
    <t>Person_168</t>
  </si>
  <si>
    <t>Person_169</t>
  </si>
  <si>
    <t>Blinkit</t>
  </si>
  <si>
    <t>2025-10</t>
  </si>
  <si>
    <t>Person_170</t>
  </si>
  <si>
    <t>Person_171</t>
  </si>
  <si>
    <t>Person_172</t>
  </si>
  <si>
    <t>Person_173</t>
  </si>
  <si>
    <t>Person_174</t>
  </si>
  <si>
    <t>Person_175</t>
  </si>
  <si>
    <t>Person_176</t>
  </si>
  <si>
    <t>Person_177</t>
  </si>
  <si>
    <t>Person_178</t>
  </si>
  <si>
    <t>Person_179</t>
  </si>
  <si>
    <t>Person_180</t>
  </si>
  <si>
    <t>Person_181</t>
  </si>
  <si>
    <t>Person_182</t>
  </si>
  <si>
    <t>Person_183</t>
  </si>
  <si>
    <t>Person_184</t>
  </si>
  <si>
    <t>Person_185</t>
  </si>
  <si>
    <t>Person_186</t>
  </si>
  <si>
    <t>Person_187</t>
  </si>
  <si>
    <t>Person_188</t>
  </si>
  <si>
    <t>Person_189</t>
  </si>
  <si>
    <t>Person_190</t>
  </si>
  <si>
    <t>2025-11</t>
  </si>
  <si>
    <t>Person_191</t>
  </si>
  <si>
    <t>Person_192</t>
  </si>
  <si>
    <t>Person_193</t>
  </si>
  <si>
    <t>Person_194</t>
  </si>
  <si>
    <t>Person_195</t>
  </si>
  <si>
    <t>Person_196</t>
  </si>
  <si>
    <t>Person_197</t>
  </si>
  <si>
    <t>Person_198</t>
  </si>
  <si>
    <t>Person_199</t>
  </si>
  <si>
    <t>Person_200</t>
  </si>
  <si>
    <t>Person_201</t>
  </si>
  <si>
    <t>2025-12</t>
  </si>
  <si>
    <t>Person_202</t>
  </si>
  <si>
    <t>Person_203</t>
  </si>
  <si>
    <t>Person_204</t>
  </si>
  <si>
    <t>Person_205</t>
  </si>
  <si>
    <t>Person_206</t>
  </si>
  <si>
    <t>Person_207</t>
  </si>
  <si>
    <t>Person_208</t>
  </si>
  <si>
    <t>Person_209</t>
  </si>
  <si>
    <t>Person_210</t>
  </si>
  <si>
    <t>Person_211</t>
  </si>
  <si>
    <t>Person_212</t>
  </si>
  <si>
    <t>Person_213</t>
  </si>
  <si>
    <t>Person_214</t>
  </si>
  <si>
    <t>Person_215</t>
  </si>
  <si>
    <t>Person_216</t>
  </si>
  <si>
    <t>Person_217</t>
  </si>
  <si>
    <t>Person_218</t>
  </si>
  <si>
    <t>Person_219</t>
  </si>
  <si>
    <t>Person_220</t>
  </si>
  <si>
    <t>Person_221</t>
  </si>
  <si>
    <t>Person_222</t>
  </si>
  <si>
    <t>Person_223</t>
  </si>
  <si>
    <t>Person_224</t>
  </si>
  <si>
    <t>Person_225</t>
  </si>
  <si>
    <t>Person_226</t>
  </si>
  <si>
    <t>Person_227</t>
  </si>
  <si>
    <t>Person_228</t>
  </si>
  <si>
    <t>2026-01</t>
  </si>
  <si>
    <t>Transport</t>
  </si>
  <si>
    <t>Person_229</t>
  </si>
  <si>
    <t>Person_230</t>
  </si>
  <si>
    <t>Person_231</t>
  </si>
  <si>
    <t>Person_232</t>
  </si>
  <si>
    <t>Person_233</t>
  </si>
  <si>
    <t>Person_234</t>
  </si>
  <si>
    <t>Person_235</t>
  </si>
  <si>
    <t>Person_236</t>
  </si>
  <si>
    <t>Person_237</t>
  </si>
  <si>
    <t>Person_238</t>
  </si>
  <si>
    <t>Person_239</t>
  </si>
  <si>
    <t>Zepto Marketplace Private Limited</t>
  </si>
  <si>
    <t>Person_240</t>
  </si>
  <si>
    <t>Person_241</t>
  </si>
  <si>
    <t>Person_242</t>
  </si>
  <si>
    <t>Person_243</t>
  </si>
  <si>
    <t>Person_244</t>
  </si>
  <si>
    <t>Person_245</t>
  </si>
  <si>
    <t>Person_246</t>
  </si>
  <si>
    <t>Person_247</t>
  </si>
  <si>
    <t>Person_248</t>
  </si>
  <si>
    <t>2026-02</t>
  </si>
  <si>
    <t>Person_249</t>
  </si>
  <si>
    <t>Person_250</t>
  </si>
  <si>
    <t>Person_251</t>
  </si>
  <si>
    <t>Person_252</t>
  </si>
  <si>
    <t>Person_253</t>
  </si>
  <si>
    <t>Person_254</t>
  </si>
  <si>
    <t>Person_255</t>
  </si>
  <si>
    <t>Person_256</t>
  </si>
  <si>
    <t>Person_257</t>
  </si>
  <si>
    <t>Person_258</t>
  </si>
  <si>
    <t>Person_259</t>
  </si>
  <si>
    <t>Person_260</t>
  </si>
  <si>
    <t>Person_261</t>
  </si>
  <si>
    <t>Person_262</t>
  </si>
  <si>
    <t>Person_263</t>
  </si>
  <si>
    <t>Person_264</t>
  </si>
  <si>
    <t>Person_265</t>
  </si>
  <si>
    <t>Person_266</t>
  </si>
  <si>
    <t>Person_267</t>
  </si>
  <si>
    <t>Person_268</t>
  </si>
  <si>
    <t>Person_269</t>
  </si>
  <si>
    <t>Person_270</t>
  </si>
  <si>
    <t>Person_271</t>
  </si>
  <si>
    <t>Person_272</t>
  </si>
  <si>
    <t>Person_273</t>
  </si>
  <si>
    <t>2026-03</t>
  </si>
  <si>
    <t>Person_274</t>
  </si>
  <si>
    <t>Flipkart Payments</t>
  </si>
  <si>
    <t>Person_275</t>
  </si>
  <si>
    <t>Person_276</t>
  </si>
  <si>
    <t>Person_277</t>
  </si>
  <si>
    <t>Person_278</t>
  </si>
  <si>
    <t>Person_279</t>
  </si>
  <si>
    <t>Person_280</t>
  </si>
  <si>
    <t>Person_281</t>
  </si>
  <si>
    <t>Person_282</t>
  </si>
  <si>
    <t>Person_283</t>
  </si>
  <si>
    <t>Person_284</t>
  </si>
  <si>
    <t>Person_285</t>
  </si>
  <si>
    <t>Person_286</t>
  </si>
  <si>
    <t>Person_287</t>
  </si>
  <si>
    <t>Person_288</t>
  </si>
  <si>
    <t>Person_289</t>
  </si>
  <si>
    <t>Person_290</t>
  </si>
  <si>
    <t>Person_291</t>
  </si>
  <si>
    <t>Person_292</t>
  </si>
  <si>
    <t>Person_293</t>
  </si>
  <si>
    <t>2026-04</t>
  </si>
  <si>
    <t>Person_294</t>
  </si>
  <si>
    <t>Person_295</t>
  </si>
  <si>
    <t>Person_296</t>
  </si>
  <si>
    <t>ZEPTO MARKETPLACE PRIVATE LIMITED</t>
  </si>
  <si>
    <t>Person_297</t>
  </si>
  <si>
    <t>ZEPTO</t>
  </si>
  <si>
    <t>Person_298</t>
  </si>
  <si>
    <t>Person_299</t>
  </si>
  <si>
    <t>ZEPTONOW</t>
  </si>
  <si>
    <t>Person_300</t>
  </si>
  <si>
    <t>Person_301</t>
  </si>
  <si>
    <t>Person_302</t>
  </si>
  <si>
    <t>Person_303</t>
  </si>
  <si>
    <t>Person_304</t>
  </si>
  <si>
    <t>Person_305</t>
  </si>
  <si>
    <t>Person_306</t>
  </si>
  <si>
    <t>Person_307</t>
  </si>
  <si>
    <t>Person_308</t>
  </si>
  <si>
    <t>Person_309</t>
  </si>
  <si>
    <t>Person_310</t>
  </si>
  <si>
    <t>Person_311</t>
  </si>
  <si>
    <t>Person_312</t>
  </si>
  <si>
    <t>Person_313</t>
  </si>
  <si>
    <t>Person_314</t>
  </si>
  <si>
    <t>Person_315</t>
  </si>
  <si>
    <t>Person_316</t>
  </si>
  <si>
    <t>Person_317</t>
  </si>
  <si>
    <t>Person_318</t>
  </si>
  <si>
    <t>Person_319</t>
  </si>
  <si>
    <t>Person_320</t>
  </si>
  <si>
    <t>Person_321</t>
  </si>
  <si>
    <t>Person_322</t>
  </si>
  <si>
    <t>Person_323</t>
  </si>
  <si>
    <t>Person_324</t>
  </si>
  <si>
    <t>Person_325</t>
  </si>
  <si>
    <t>Person_326</t>
  </si>
  <si>
    <t>Person_327</t>
  </si>
  <si>
    <t>Person_328</t>
  </si>
  <si>
    <t>Person_329</t>
  </si>
  <si>
    <t>Person_330</t>
  </si>
  <si>
    <t>2026-05</t>
  </si>
  <si>
    <t>Person_331</t>
  </si>
  <si>
    <t>Person_332</t>
  </si>
  <si>
    <t>Person_333</t>
  </si>
  <si>
    <t>Person_334</t>
  </si>
  <si>
    <t>Person_335</t>
  </si>
  <si>
    <t>Person_336</t>
  </si>
  <si>
    <t>Person_337</t>
  </si>
  <si>
    <t>Person_338</t>
  </si>
  <si>
    <t>Person_339</t>
  </si>
  <si>
    <t>Person_340</t>
  </si>
  <si>
    <t>Person_341</t>
  </si>
  <si>
    <t>Person_342</t>
  </si>
  <si>
    <t>Person_343</t>
  </si>
  <si>
    <t>Person_344</t>
  </si>
  <si>
    <t>Person_345</t>
  </si>
  <si>
    <t>Person_346</t>
  </si>
  <si>
    <t>Person_347</t>
  </si>
  <si>
    <t>2026-06</t>
  </si>
  <si>
    <t>Person_348</t>
  </si>
  <si>
    <t>Person_349</t>
  </si>
  <si>
    <t>Person_350</t>
  </si>
  <si>
    <t>Person_351</t>
  </si>
  <si>
    <t>Person_352</t>
  </si>
  <si>
    <t>Person_353</t>
  </si>
  <si>
    <t>Person_354</t>
  </si>
  <si>
    <t>Person_355</t>
  </si>
  <si>
    <t>Person_356</t>
  </si>
  <si>
    <t>Person_357</t>
  </si>
  <si>
    <t>Person_358</t>
  </si>
  <si>
    <t>Person_359</t>
  </si>
  <si>
    <t>Person_360</t>
  </si>
  <si>
    <t>Person_361</t>
  </si>
  <si>
    <t>Person_362</t>
  </si>
  <si>
    <t>Person_363</t>
  </si>
  <si>
    <t>Person_364</t>
  </si>
  <si>
    <t>Person_365</t>
  </si>
  <si>
    <t>Person_366</t>
  </si>
  <si>
    <t>Person_367</t>
  </si>
  <si>
    <t>Person_368</t>
  </si>
  <si>
    <t>Person_369</t>
  </si>
  <si>
    <t>Person_370</t>
  </si>
  <si>
    <t>2026-07</t>
  </si>
  <si>
    <t>Person_371</t>
  </si>
  <si>
    <t>Person_372</t>
  </si>
  <si>
    <t>Person_373</t>
  </si>
  <si>
    <t>Person_374</t>
  </si>
  <si>
    <t>Person_375</t>
  </si>
  <si>
    <t>Person_376</t>
  </si>
  <si>
    <t>Person_377</t>
  </si>
  <si>
    <t>Person_378</t>
  </si>
  <si>
    <t>Person_379</t>
  </si>
  <si>
    <t>Person_380</t>
  </si>
  <si>
    <t>Person_381</t>
  </si>
  <si>
    <t>Person_382</t>
  </si>
  <si>
    <t>UPI Spend Dashboard - Summary</t>
  </si>
  <si>
    <t>Total Debit (Spent)</t>
  </si>
  <si>
    <t>Total Credit (Received)</t>
  </si>
  <si>
    <t>Net Balance</t>
  </si>
  <si>
    <t>Total Transactions</t>
  </si>
  <si>
    <t>Avg Transaction Amount</t>
  </si>
  <si>
    <t>Category-wise Spend</t>
  </si>
  <si>
    <t>Category</t>
  </si>
  <si>
    <t>Total Spent</t>
  </si>
  <si>
    <t>Row Labels</t>
  </si>
  <si>
    <t>Grand Total</t>
  </si>
  <si>
    <t>Column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</si>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</sst>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3" formatCode="h:mm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[UPI_Spend_Dashboard.xlsx]Monthly_Trend!PivotTable1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Monthly_Trend!$B$3:$B$4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Monthly_Trend!$A$5:$A$24</c:f>
              <c:strCache>
                <c:ptCount val="19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</c:strCache>
            </c:strRef>
          </c:cat>
          <c:val>
            <c:numRef>
              <c:f>Monthly_Trend!$B$5:$B$24</c:f>
              <c:numCache>
                <c:formatCode>General</c:formatCode>
                <c:ptCount val="19"/>
                <c:pt idx="0">
                  <c:v>2878</c:v>
                </c:pt>
                <c:pt idx="1">
                  <c:v>12164</c:v>
                </c:pt>
                <c:pt idx="2">
                  <c:v>8179</c:v>
                </c:pt>
                <c:pt idx="3">
                  <c:v>72562</c:v>
                </c:pt>
                <c:pt idx="4">
                  <c:v>128479</c:v>
                </c:pt>
                <c:pt idx="5">
                  <c:v>30684</c:v>
                </c:pt>
                <c:pt idx="6">
                  <c:v>26050</c:v>
                </c:pt>
                <c:pt idx="7">
                  <c:v>176541</c:v>
                </c:pt>
                <c:pt idx="8">
                  <c:v>76907</c:v>
                </c:pt>
                <c:pt idx="9">
                  <c:v>47320.44</c:v>
                </c:pt>
                <c:pt idx="10">
                  <c:v>31019.269999999997</c:v>
                </c:pt>
                <c:pt idx="11">
                  <c:v>111172</c:v>
                </c:pt>
                <c:pt idx="12">
                  <c:v>63820.4</c:v>
                </c:pt>
                <c:pt idx="13">
                  <c:v>165363</c:v>
                </c:pt>
                <c:pt idx="14">
                  <c:v>14153.8</c:v>
                </c:pt>
                <c:pt idx="15">
                  <c:v>94797</c:v>
                </c:pt>
                <c:pt idx="16">
                  <c:v>60778</c:v>
                </c:pt>
                <c:pt idx="17">
                  <c:v>71045</c:v>
                </c:pt>
                <c:pt idx="18">
                  <c:v>20104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A-45BE-A081-3DDE7DDACCE2}"/>
            </c:ext>
          </c:extLst>
        </c:ser>
        <c:ser>
          <c:idx val="1"/>
          <c:order val="1"/>
          <c:tx>
            <c:strRef>
              <c:f>Monthly_Trend!$C$3:$C$4</c:f>
              <c:strCache>
                <c:ptCount val="1"/>
                <c:pt idx="0">
                  <c:v>Debit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Monthly_Trend!$A$5:$A$24</c:f>
              <c:strCache>
                <c:ptCount val="19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</c:strCache>
            </c:strRef>
          </c:cat>
          <c:val>
            <c:numRef>
              <c:f>Monthly_Trend!$C$5:$C$24</c:f>
              <c:numCache>
                <c:formatCode>General</c:formatCode>
                <c:ptCount val="19"/>
                <c:pt idx="0">
                  <c:v>57355.96</c:v>
                </c:pt>
                <c:pt idx="1">
                  <c:v>31714</c:v>
                </c:pt>
                <c:pt idx="2">
                  <c:v>17878</c:v>
                </c:pt>
                <c:pt idx="3">
                  <c:v>88212</c:v>
                </c:pt>
                <c:pt idx="4">
                  <c:v>90970</c:v>
                </c:pt>
                <c:pt idx="5">
                  <c:v>107486.86</c:v>
                </c:pt>
                <c:pt idx="6">
                  <c:v>63210</c:v>
                </c:pt>
                <c:pt idx="7">
                  <c:v>231465.53999999998</c:v>
                </c:pt>
                <c:pt idx="8">
                  <c:v>57782</c:v>
                </c:pt>
                <c:pt idx="9">
                  <c:v>52025</c:v>
                </c:pt>
                <c:pt idx="10">
                  <c:v>33485.06</c:v>
                </c:pt>
                <c:pt idx="11">
                  <c:v>156796</c:v>
                </c:pt>
                <c:pt idx="12">
                  <c:v>120852</c:v>
                </c:pt>
                <c:pt idx="13">
                  <c:v>238736.06</c:v>
                </c:pt>
                <c:pt idx="14">
                  <c:v>34699.160000000003</c:v>
                </c:pt>
                <c:pt idx="15">
                  <c:v>178696</c:v>
                </c:pt>
                <c:pt idx="16">
                  <c:v>70641</c:v>
                </c:pt>
                <c:pt idx="17">
                  <c:v>122822</c:v>
                </c:pt>
                <c:pt idx="18">
                  <c:v>29491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A-45BE-A081-3DDE7DDAC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4704"/>
        <c:axId val="4889424"/>
      </c:barChart>
      <c:catAx>
        <c:axId val="48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424"/>
        <c:crosses val="autoZero"/>
        <c:auto val="1"/>
        <c:lblAlgn val="ctr"/>
        <c:lblOffset val="100"/>
        <c:noMultiLvlLbl val="0"/>
      </c:catAx>
      <c:valAx>
        <c:axId val="48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Spend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Summary!$B$11</c:f>
              <c:strCache>
                <c:ptCount val="1"/>
                <c:pt idx="0">
                  <c:v>Total 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Summary!$A$12:$A$19</c:f>
              <c:strCache>
                <c:ptCount val="8"/>
                <c:pt idx="0">
                  <c:v>Person/Merchant Payment</c:v>
                </c:pt>
                <c:pt idx="1">
                  <c:v>Education/Fees</c:v>
                </c:pt>
                <c:pt idx="2">
                  <c:v>UPI Lite Top-up</c:v>
                </c:pt>
                <c:pt idx="3">
                  <c:v>Food &amp; Dining</c:v>
                </c:pt>
                <c:pt idx="4">
                  <c:v>Recharge</c:v>
                </c:pt>
                <c:pt idx="5">
                  <c:v>Others</c:v>
                </c:pt>
                <c:pt idx="6">
                  <c:v>Shopping</c:v>
                </c:pt>
                <c:pt idx="7">
                  <c:v>Transport</c:v>
                </c:pt>
              </c:strCache>
            </c:strRef>
          </c:cat>
          <c:val>
            <c:numRef>
              <c:f>Summary!$B$12:$B$19</c:f>
              <c:numCache>
                <c:formatCode>General</c:formatCode>
                <c:ptCount val="8"/>
                <c:pt idx="0">
                  <c:v>1472397.68</c:v>
                </c:pt>
                <c:pt idx="1">
                  <c:v>260868</c:v>
                </c:pt>
                <c:pt idx="2">
                  <c:v>37485</c:v>
                </c:pt>
                <c:pt idx="3">
                  <c:v>5963.96</c:v>
                </c:pt>
                <c:pt idx="4">
                  <c:v>3157</c:v>
                </c:pt>
                <c:pt idx="5">
                  <c:v>2818</c:v>
                </c:pt>
                <c:pt idx="6">
                  <c:v>1309</c:v>
                </c:pt>
                <c:pt idx="7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2-4EFA-A466-1966F20A5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137160</xdr:rowOff>
    </xdr:from>
    <xdr:to>
      <xdr:col>12</xdr:col>
      <xdr:colOff>320040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6D607-8071-D6A2-C875-8FEF56134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6</xdr:row>
      <xdr:rowOff>41910</xdr:rowOff>
    </xdr:from>
    <xdr:to>
      <xdr:col>12</xdr:col>
      <xdr:colOff>563880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15BC0-4718-AA23-8D82-D2BD9F477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 Naik" refreshedDate="46225.52607349537" createdVersion="8" refreshedVersion="8" minRefreshableVersion="3" recordCount="1704" xr:uid="{9423DC84-3DAE-4B74-8C23-CAA48142B404}">
  <cacheSource type="worksheet">
    <worksheetSource name="Transactions"/>
  </cacheSource>
  <cacheFields count="8">
    <cacheField name="id" numFmtId="0">
      <sharedItems containsSemiMixedTypes="0" containsString="0" containsNumber="1" containsInteger="1" minValue="1" maxValue="1704"/>
    </cacheField>
    <cacheField name="date" numFmtId="14">
      <sharedItems containsSemiMixedTypes="0" containsNonDate="0" containsDate="1" containsString="0" minDate="2025-01-01T00:00:00" maxDate="2026-07-14T00:00:00"/>
    </cacheField>
    <cacheField name="time" numFmtId="18">
      <sharedItems containsSemiMixedTypes="0" containsNonDate="0" containsDate="1" containsString="0" minDate="1899-12-30T00:04:00" maxDate="1899-12-30T23:59:00"/>
    </cacheField>
    <cacheField name="category" numFmtId="0">
      <sharedItems/>
    </cacheField>
    <cacheField name="type" numFmtId="0">
      <sharedItems count="2">
        <s v="Debit"/>
        <s v="Credit"/>
      </sharedItems>
    </cacheField>
    <cacheField name="amount" numFmtId="0">
      <sharedItems containsSemiMixedTypes="0" containsString="0" containsNumber="1" minValue="1" maxValue="50500"/>
    </cacheField>
    <cacheField name="counterparty" numFmtId="0">
      <sharedItems/>
    </cacheField>
    <cacheField name="month" numFmtId="0">
      <sharedItems count="19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4">
  <r>
    <n v="1"/>
    <d v="2025-01-01T00:00:00"/>
    <d v="1899-12-30T08:03:00"/>
    <s v="Person/Merchant Payment"/>
    <x v="0"/>
    <n v="180"/>
    <s v="Person_1"/>
    <x v="0"/>
  </r>
  <r>
    <n v="2"/>
    <d v="2025-01-01T00:00:00"/>
    <d v="1899-12-30T08:03:00"/>
    <s v="Person/Merchant Payment"/>
    <x v="0"/>
    <n v="180"/>
    <s v="Person_2"/>
    <x v="0"/>
  </r>
  <r>
    <n v="3"/>
    <d v="2025-01-01T00:00:00"/>
    <d v="1899-12-30T08:04:00"/>
    <s v="Person/Merchant Payment"/>
    <x v="0"/>
    <n v="175"/>
    <s v="Person_3"/>
    <x v="0"/>
  </r>
  <r>
    <n v="4"/>
    <d v="2025-01-01T00:00:00"/>
    <d v="1899-12-30T09:30:00"/>
    <s v="Recharge"/>
    <x v="0"/>
    <n v="189"/>
    <s v="Jio Prepaid Recharges"/>
    <x v="0"/>
  </r>
  <r>
    <n v="5"/>
    <d v="2025-01-01T00:00:00"/>
    <d v="1899-12-30T09:45:00"/>
    <s v="Person/Merchant Payment"/>
    <x v="0"/>
    <n v="20"/>
    <s v="Person_2"/>
    <x v="0"/>
  </r>
  <r>
    <n v="6"/>
    <d v="2025-01-01T00:00:00"/>
    <d v="1899-12-30T09:46:00"/>
    <s v="UPI Lite Top-up"/>
    <x v="0"/>
    <n v="200"/>
    <s v="Person_4"/>
    <x v="0"/>
  </r>
  <r>
    <n v="7"/>
    <d v="2025-01-01T00:00:00"/>
    <d v="1899-12-30T09:47:00"/>
    <s v="Education/Fees"/>
    <x v="0"/>
    <n v="20000"/>
    <s v="Person_5"/>
    <x v="0"/>
  </r>
  <r>
    <n v="8"/>
    <d v="2025-01-01T00:00:00"/>
    <d v="1899-12-30T16:14:00"/>
    <s v="Person/Merchant Payment"/>
    <x v="0"/>
    <n v="2536"/>
    <s v="Person_6"/>
    <x v="0"/>
  </r>
  <r>
    <n v="9"/>
    <d v="2025-01-01T00:00:00"/>
    <d v="1899-12-30T16:14:00"/>
    <s v="Person/Merchant Payment"/>
    <x v="0"/>
    <n v="2536"/>
    <s v="Person_7"/>
    <x v="0"/>
  </r>
  <r>
    <n v="10"/>
    <d v="2025-01-02T00:00:00"/>
    <d v="1899-12-30T09:26:00"/>
    <s v="Education/Fees"/>
    <x v="0"/>
    <n v="22464"/>
    <s v="Person_5"/>
    <x v="0"/>
  </r>
  <r>
    <n v="11"/>
    <d v="2025-01-03T00:00:00"/>
    <d v="1899-12-30T18:08:00"/>
    <s v="Money Received"/>
    <x v="1"/>
    <n v="20"/>
    <s v="Person_3"/>
    <x v="0"/>
  </r>
  <r>
    <n v="12"/>
    <d v="2025-01-03T00:00:00"/>
    <d v="1899-12-30T19:07:00"/>
    <s v="Person/Merchant Payment"/>
    <x v="0"/>
    <n v="20"/>
    <s v="Person_1"/>
    <x v="0"/>
  </r>
  <r>
    <n v="13"/>
    <d v="2025-01-03T00:00:00"/>
    <d v="1899-12-30T19:08:00"/>
    <s v="Person/Merchant Payment"/>
    <x v="0"/>
    <n v="20"/>
    <s v="Person_1"/>
    <x v="0"/>
  </r>
  <r>
    <n v="14"/>
    <d v="2025-01-04T00:00:00"/>
    <d v="1899-12-30T10:53:00"/>
    <s v="Person/Merchant Payment"/>
    <x v="0"/>
    <n v="140"/>
    <s v="Person_8"/>
    <x v="0"/>
  </r>
  <r>
    <n v="15"/>
    <d v="2025-01-04T00:00:00"/>
    <d v="1899-12-30T18:15:00"/>
    <s v="Person/Merchant Payment"/>
    <x v="0"/>
    <n v="260"/>
    <s v="Person_9"/>
    <x v="0"/>
  </r>
  <r>
    <n v="16"/>
    <d v="2025-01-04T00:00:00"/>
    <d v="1899-12-30T18:57:00"/>
    <s v="Person/Merchant Payment"/>
    <x v="0"/>
    <n v="136"/>
    <s v="Person_7"/>
    <x v="0"/>
  </r>
  <r>
    <n v="17"/>
    <d v="2025-01-05T00:00:00"/>
    <d v="1899-12-30T18:16:00"/>
    <s v="Money Received"/>
    <x v="1"/>
    <n v="20"/>
    <s v="Person_10"/>
    <x v="0"/>
  </r>
  <r>
    <n v="18"/>
    <d v="2025-01-06T00:00:00"/>
    <d v="1899-12-30T15:04:00"/>
    <s v="Money Received"/>
    <x v="1"/>
    <n v="25"/>
    <s v="Person_1"/>
    <x v="0"/>
  </r>
  <r>
    <n v="19"/>
    <d v="2025-01-06T00:00:00"/>
    <d v="1899-12-30T15:15:00"/>
    <s v="Person/Merchant Payment"/>
    <x v="0"/>
    <n v="45"/>
    <s v="Person_7"/>
    <x v="0"/>
  </r>
  <r>
    <n v="20"/>
    <d v="2025-01-06T00:00:00"/>
    <d v="1899-12-30T17:52:00"/>
    <s v="Shopping"/>
    <x v="0"/>
    <n v="602"/>
    <s v="Flipkart"/>
    <x v="0"/>
  </r>
  <r>
    <n v="21"/>
    <d v="2025-01-07T00:00:00"/>
    <d v="1899-12-30T18:18:00"/>
    <s v="Person/Merchant Payment"/>
    <x v="0"/>
    <n v="40"/>
    <s v="Person_11"/>
    <x v="0"/>
  </r>
  <r>
    <n v="22"/>
    <d v="2025-01-07T00:00:00"/>
    <d v="1899-12-30T18:32:00"/>
    <s v="Money Received"/>
    <x v="1"/>
    <n v="100"/>
    <s v="Person_12"/>
    <x v="0"/>
  </r>
  <r>
    <n v="23"/>
    <d v="2025-01-07T00:00:00"/>
    <d v="1899-12-30T22:57:00"/>
    <s v="Person/Merchant Payment"/>
    <x v="0"/>
    <n v="20"/>
    <s v="Person_7"/>
    <x v="0"/>
  </r>
  <r>
    <n v="24"/>
    <d v="2025-01-07T00:00:00"/>
    <d v="1899-12-30T22:57:00"/>
    <s v="UPI Lite Top-up"/>
    <x v="0"/>
    <n v="40"/>
    <s v="Person_4"/>
    <x v="0"/>
  </r>
  <r>
    <n v="25"/>
    <d v="2025-01-08T00:00:00"/>
    <d v="1899-12-30T17:49:00"/>
    <s v="Money Received"/>
    <x v="1"/>
    <n v="100"/>
    <s v="Person_2"/>
    <x v="0"/>
  </r>
  <r>
    <n v="26"/>
    <d v="2025-01-08T00:00:00"/>
    <d v="1899-12-30T17:49:00"/>
    <s v="Person/Merchant Payment"/>
    <x v="0"/>
    <n v="40"/>
    <s v="Person_13"/>
    <x v="0"/>
  </r>
  <r>
    <n v="27"/>
    <d v="2025-01-08T00:00:00"/>
    <d v="1899-12-30T17:51:00"/>
    <s v="Person/Merchant Payment"/>
    <x v="0"/>
    <n v="80"/>
    <s v="Person_9"/>
    <x v="0"/>
  </r>
  <r>
    <n v="28"/>
    <d v="2025-01-08T00:00:00"/>
    <d v="1899-12-30T18:37:00"/>
    <s v="Person/Merchant Payment"/>
    <x v="0"/>
    <n v="500"/>
    <s v="Person_14"/>
    <x v="0"/>
  </r>
  <r>
    <n v="29"/>
    <d v="2025-01-09T00:00:00"/>
    <d v="1899-12-30T08:50:00"/>
    <s v="Money Received"/>
    <x v="1"/>
    <n v="181"/>
    <s v="Person_12"/>
    <x v="0"/>
  </r>
  <r>
    <n v="30"/>
    <d v="2025-01-10T00:00:00"/>
    <d v="1899-12-30T21:57:00"/>
    <s v="Money Received"/>
    <x v="1"/>
    <n v="45"/>
    <s v="Person_15"/>
    <x v="0"/>
  </r>
  <r>
    <n v="31"/>
    <d v="2025-01-11T00:00:00"/>
    <d v="1899-12-30T04:28:00"/>
    <s v="Person/Merchant Payment"/>
    <x v="0"/>
    <n v="60"/>
    <s v="Person_7"/>
    <x v="0"/>
  </r>
  <r>
    <n v="32"/>
    <d v="2025-01-11T00:00:00"/>
    <d v="1899-12-30T11:14:00"/>
    <s v="Person/Merchant Payment"/>
    <x v="0"/>
    <n v="20"/>
    <s v="Person_16"/>
    <x v="0"/>
  </r>
  <r>
    <n v="33"/>
    <d v="2025-01-11T00:00:00"/>
    <d v="1899-12-30T13:04:00"/>
    <s v="UPI Lite Top-up"/>
    <x v="0"/>
    <n v="200"/>
    <s v="Person_4"/>
    <x v="0"/>
  </r>
  <r>
    <n v="34"/>
    <d v="2025-01-11T00:00:00"/>
    <d v="1899-12-30T13:04:00"/>
    <s v="UPI Lite Top-up"/>
    <x v="0"/>
    <n v="100"/>
    <s v="Person_4"/>
    <x v="0"/>
  </r>
  <r>
    <n v="35"/>
    <d v="2025-01-11T00:00:00"/>
    <d v="1899-12-30T21:16:00"/>
    <s v="Person/Merchant Payment"/>
    <x v="0"/>
    <n v="1"/>
    <s v="Person_2"/>
    <x v="0"/>
  </r>
  <r>
    <n v="36"/>
    <d v="2025-01-11T00:00:00"/>
    <d v="1899-12-30T21:16:00"/>
    <s v="UPI Lite Top-up"/>
    <x v="0"/>
    <n v="1"/>
    <s v="Person_4"/>
    <x v="0"/>
  </r>
  <r>
    <n v="37"/>
    <d v="2025-01-13T00:00:00"/>
    <d v="1899-12-30T17:58:00"/>
    <s v="Person/Merchant Payment"/>
    <x v="0"/>
    <n v="100"/>
    <s v="Person_10"/>
    <x v="0"/>
  </r>
  <r>
    <n v="38"/>
    <d v="2025-01-14T00:00:00"/>
    <d v="1899-12-30T19:14:00"/>
    <s v="Money Received"/>
    <x v="1"/>
    <n v="25"/>
    <s v="Person_17"/>
    <x v="0"/>
  </r>
  <r>
    <n v="39"/>
    <d v="2025-01-15T00:00:00"/>
    <d v="1899-12-30T20:19:00"/>
    <s v="Money Received"/>
    <x v="1"/>
    <n v="1"/>
    <s v="Person_12"/>
    <x v="0"/>
  </r>
  <r>
    <n v="40"/>
    <d v="2025-01-15T00:00:00"/>
    <d v="1899-12-30T20:19:00"/>
    <s v="Money Received"/>
    <x v="1"/>
    <n v="5"/>
    <s v="Person_12"/>
    <x v="0"/>
  </r>
  <r>
    <n v="41"/>
    <d v="2025-01-15T00:00:00"/>
    <d v="1899-12-30T20:21:00"/>
    <s v="Recharge"/>
    <x v="0"/>
    <n v="19"/>
    <s v="Person_18"/>
    <x v="0"/>
  </r>
  <r>
    <n v="42"/>
    <d v="2025-01-15T00:00:00"/>
    <d v="1899-12-30T20:22:00"/>
    <s v="UPI Lite Top-up"/>
    <x v="0"/>
    <n v="10"/>
    <s v="Person_4"/>
    <x v="0"/>
  </r>
  <r>
    <n v="43"/>
    <d v="2025-01-15T00:00:00"/>
    <d v="1899-12-30T20:24:00"/>
    <s v="Money Received"/>
    <x v="1"/>
    <n v="12"/>
    <s v="Person_1"/>
    <x v="0"/>
  </r>
  <r>
    <n v="44"/>
    <d v="2025-01-15T00:00:00"/>
    <d v="1899-12-30T20:25:00"/>
    <s v="UPI Lite Top-up"/>
    <x v="0"/>
    <n v="38"/>
    <s v="Person_4"/>
    <x v="0"/>
  </r>
  <r>
    <n v="45"/>
    <d v="2025-01-17T00:00:00"/>
    <d v="1899-12-30T20:42:00"/>
    <s v="Money Received"/>
    <x v="1"/>
    <n v="11"/>
    <s v="Person_15"/>
    <x v="0"/>
  </r>
  <r>
    <n v="46"/>
    <d v="2025-01-18T00:00:00"/>
    <d v="1899-12-30T14:25:00"/>
    <s v="Money Received"/>
    <x v="1"/>
    <n v="13"/>
    <s v="Person_17"/>
    <x v="0"/>
  </r>
  <r>
    <n v="47"/>
    <d v="2025-01-18T00:00:00"/>
    <d v="1899-12-30T14:30:00"/>
    <s v="Money Received"/>
    <x v="1"/>
    <n v="1000"/>
    <s v="Person_12"/>
    <x v="0"/>
  </r>
  <r>
    <n v="48"/>
    <d v="2025-01-18T00:00:00"/>
    <d v="1899-12-30T20:00:00"/>
    <s v="Money Received"/>
    <x v="1"/>
    <n v="60"/>
    <s v="Person_1"/>
    <x v="0"/>
  </r>
  <r>
    <n v="49"/>
    <d v="2025-01-19T00:00:00"/>
    <d v="1899-12-30T13:57:00"/>
    <s v="Person/Merchant Payment"/>
    <x v="0"/>
    <n v="500"/>
    <s v="Person_12"/>
    <x v="0"/>
  </r>
  <r>
    <n v="50"/>
    <d v="2025-01-19T00:00:00"/>
    <d v="1899-12-30T14:03:00"/>
    <s v="Money Received"/>
    <x v="1"/>
    <n v="500"/>
    <s v="Person_12"/>
    <x v="0"/>
  </r>
  <r>
    <n v="51"/>
    <d v="2025-01-19T00:00:00"/>
    <d v="1899-12-30T18:00:00"/>
    <s v="Person/Merchant Payment"/>
    <x v="0"/>
    <n v="400"/>
    <s v="Person_7"/>
    <x v="0"/>
  </r>
  <r>
    <n v="52"/>
    <d v="2025-01-19T00:00:00"/>
    <d v="1899-12-30T18:13:00"/>
    <s v="UPI Lite Top-up"/>
    <x v="0"/>
    <n v="50"/>
    <s v="Person_4"/>
    <x v="0"/>
  </r>
  <r>
    <n v="53"/>
    <d v="2025-01-20T00:00:00"/>
    <d v="1899-12-30T09:51:00"/>
    <s v="Money Received"/>
    <x v="1"/>
    <n v="80"/>
    <s v="Person_2"/>
    <x v="0"/>
  </r>
  <r>
    <n v="54"/>
    <d v="2025-01-20T00:00:00"/>
    <d v="1899-12-30T10:13:00"/>
    <s v="Person/Merchant Payment"/>
    <x v="0"/>
    <n v="42"/>
    <s v="Person_19"/>
    <x v="0"/>
  </r>
  <r>
    <n v="55"/>
    <d v="2025-01-20T00:00:00"/>
    <d v="1899-12-30T10:26:00"/>
    <s v="Food &amp; Dining"/>
    <x v="0"/>
    <n v="40"/>
    <s v="Person_20"/>
    <x v="0"/>
  </r>
  <r>
    <n v="56"/>
    <d v="2025-01-20T00:00:00"/>
    <d v="1899-12-30T10:45:00"/>
    <s v="Person/Merchant Payment"/>
    <x v="0"/>
    <n v="100"/>
    <s v="Person_21"/>
    <x v="0"/>
  </r>
  <r>
    <n v="57"/>
    <d v="2025-01-24T00:00:00"/>
    <d v="1899-12-30T18:27:00"/>
    <s v="UPI Lite Top-up"/>
    <x v="0"/>
    <n v="21"/>
    <s v="Person_4"/>
    <x v="0"/>
  </r>
  <r>
    <n v="58"/>
    <d v="2025-01-24T00:00:00"/>
    <d v="1899-12-30T19:12:00"/>
    <s v="Money Received"/>
    <x v="1"/>
    <n v="500"/>
    <s v="Person_12"/>
    <x v="0"/>
  </r>
  <r>
    <n v="59"/>
    <d v="2025-01-25T00:00:00"/>
    <d v="1899-12-30T08:29:00"/>
    <s v="Person/Merchant Payment"/>
    <x v="0"/>
    <n v="200"/>
    <s v="Person_7"/>
    <x v="0"/>
  </r>
  <r>
    <n v="60"/>
    <d v="2025-01-25T00:00:00"/>
    <d v="1899-12-30T08:33:00"/>
    <s v="Person/Merchant Payment"/>
    <x v="0"/>
    <n v="200"/>
    <s v="Person_6"/>
    <x v="0"/>
  </r>
  <r>
    <n v="61"/>
    <d v="2025-01-25T00:00:00"/>
    <d v="1899-12-30T08:33:00"/>
    <s v="UPI Lite Top-up"/>
    <x v="0"/>
    <n v="200"/>
    <s v="Person_4"/>
    <x v="0"/>
  </r>
  <r>
    <n v="62"/>
    <d v="2025-01-26T00:00:00"/>
    <d v="1899-12-30T11:17:00"/>
    <s v="Person/Merchant Payment"/>
    <x v="0"/>
    <n v="20"/>
    <s v="Person_22"/>
    <x v="0"/>
  </r>
  <r>
    <n v="63"/>
    <d v="2025-01-26T00:00:00"/>
    <d v="1899-12-30T11:22:00"/>
    <s v="Money Received"/>
    <x v="1"/>
    <n v="10"/>
    <s v="Person_3"/>
    <x v="0"/>
  </r>
  <r>
    <n v="64"/>
    <d v="2025-01-26T00:00:00"/>
    <d v="1899-12-30T11:26:00"/>
    <s v="UPI Lite Top-up"/>
    <x v="0"/>
    <n v="20"/>
    <s v="Person_4"/>
    <x v="0"/>
  </r>
  <r>
    <n v="65"/>
    <d v="2025-01-26T00:00:00"/>
    <d v="1899-12-30T16:33:00"/>
    <s v="Money Received"/>
    <x v="1"/>
    <n v="20"/>
    <s v="Person_23"/>
    <x v="0"/>
  </r>
  <r>
    <n v="66"/>
    <d v="2025-01-26T00:00:00"/>
    <d v="1899-12-30T17:43:00"/>
    <s v="Money Received"/>
    <x v="1"/>
    <n v="20"/>
    <s v="Person_3"/>
    <x v="0"/>
  </r>
  <r>
    <n v="67"/>
    <d v="2025-01-28T00:00:00"/>
    <d v="1899-12-30T19:44:00"/>
    <s v="Person/Merchant Payment"/>
    <x v="0"/>
    <n v="500"/>
    <s v="Person_24"/>
    <x v="0"/>
  </r>
  <r>
    <n v="68"/>
    <d v="2025-01-29T00:00:00"/>
    <d v="1899-12-30T15:13:00"/>
    <s v="Person/Merchant Payment"/>
    <x v="0"/>
    <n v="300"/>
    <s v="Person_7"/>
    <x v="0"/>
  </r>
  <r>
    <n v="69"/>
    <d v="2025-01-29T00:00:00"/>
    <d v="1899-12-30T15:14:00"/>
    <s v="Person/Merchant Payment"/>
    <x v="0"/>
    <n v="300"/>
    <s v="Person_6"/>
    <x v="0"/>
  </r>
  <r>
    <n v="70"/>
    <d v="2025-01-29T00:00:00"/>
    <d v="1899-12-30T15:30:00"/>
    <s v="Person/Merchant Payment"/>
    <x v="0"/>
    <n v="2678"/>
    <s v="Person_25"/>
    <x v="0"/>
  </r>
  <r>
    <n v="71"/>
    <d v="2025-01-29T00:00:00"/>
    <d v="1899-12-30T15:32:00"/>
    <s v="Person/Merchant Payment"/>
    <x v="0"/>
    <n v="29"/>
    <s v="Person_25"/>
    <x v="0"/>
  </r>
  <r>
    <n v="72"/>
    <d v="2025-01-29T00:00:00"/>
    <d v="1899-12-30T15:39:00"/>
    <s v="Person/Merchant Payment"/>
    <x v="0"/>
    <n v="83.96"/>
    <s v="Person_26"/>
    <x v="0"/>
  </r>
  <r>
    <n v="73"/>
    <d v="2025-01-29T00:00:00"/>
    <d v="1899-12-30T17:01:00"/>
    <s v="Person/Merchant Payment"/>
    <x v="0"/>
    <n v="700"/>
    <s v="Person_27"/>
    <x v="0"/>
  </r>
  <r>
    <n v="74"/>
    <d v="2025-01-29T00:00:00"/>
    <d v="1899-12-30T18:01:00"/>
    <s v="Money Received"/>
    <x v="1"/>
    <n v="130"/>
    <s v="Person_3"/>
    <x v="0"/>
  </r>
  <r>
    <n v="75"/>
    <d v="2025-02-04T00:00:00"/>
    <d v="1899-12-30T21:24:00"/>
    <s v="Person/Merchant Payment"/>
    <x v="0"/>
    <n v="1000"/>
    <s v="Person_28"/>
    <x v="1"/>
  </r>
  <r>
    <n v="76"/>
    <d v="2025-02-06T00:00:00"/>
    <d v="1899-12-30T14:34:00"/>
    <s v="Money Received"/>
    <x v="1"/>
    <n v="1000"/>
    <s v="Person_28"/>
    <x v="1"/>
  </r>
  <r>
    <n v="77"/>
    <d v="2025-02-06T00:00:00"/>
    <d v="1899-12-30T15:39:00"/>
    <s v="Person/Merchant Payment"/>
    <x v="0"/>
    <n v="1000"/>
    <s v="Person_7"/>
    <x v="1"/>
  </r>
  <r>
    <n v="78"/>
    <d v="2025-02-06T00:00:00"/>
    <d v="1899-12-30T21:38:00"/>
    <s v="Person/Merchant Payment"/>
    <x v="0"/>
    <n v="1000"/>
    <s v="Person_11"/>
    <x v="1"/>
  </r>
  <r>
    <n v="79"/>
    <d v="2025-02-09T00:00:00"/>
    <d v="1899-12-30T10:00:00"/>
    <s v="Person/Merchant Payment"/>
    <x v="0"/>
    <n v="20000"/>
    <s v="Person_12"/>
    <x v="1"/>
  </r>
  <r>
    <n v="80"/>
    <d v="2025-02-09T00:00:00"/>
    <d v="1899-12-30T10:03:00"/>
    <s v="Money Received"/>
    <x v="1"/>
    <n v="1"/>
    <s v="Person_12"/>
    <x v="1"/>
  </r>
  <r>
    <n v="81"/>
    <d v="2025-02-09T00:00:00"/>
    <d v="1899-12-30T10:03:00"/>
    <s v="Person/Merchant Payment"/>
    <x v="0"/>
    <n v="1"/>
    <s v="Person_7"/>
    <x v="1"/>
  </r>
  <r>
    <n v="82"/>
    <d v="2025-02-09T00:00:00"/>
    <d v="1899-12-30T10:24:00"/>
    <s v="Others"/>
    <x v="0"/>
    <n v="139"/>
    <s v="Person_29"/>
    <x v="1"/>
  </r>
  <r>
    <n v="83"/>
    <d v="2025-02-09T00:00:00"/>
    <d v="1899-12-30T10:24:00"/>
    <s v="Money Received"/>
    <x v="1"/>
    <n v="90"/>
    <s v="Person_12"/>
    <x v="1"/>
  </r>
  <r>
    <n v="84"/>
    <d v="2025-02-09T00:00:00"/>
    <d v="1899-12-30T13:35:00"/>
    <s v="Person/Merchant Payment"/>
    <x v="0"/>
    <n v="700"/>
    <s v="Person_6"/>
    <x v="1"/>
  </r>
  <r>
    <n v="85"/>
    <d v="2025-02-14T00:00:00"/>
    <d v="1899-12-30T21:22:00"/>
    <s v="Money Received"/>
    <x v="1"/>
    <n v="40"/>
    <s v="Person_12"/>
    <x v="1"/>
  </r>
  <r>
    <n v="86"/>
    <d v="2025-02-14T00:00:00"/>
    <d v="1899-12-30T21:23:00"/>
    <s v="Others"/>
    <x v="0"/>
    <n v="114"/>
    <s v="Person_29"/>
    <x v="1"/>
  </r>
  <r>
    <n v="87"/>
    <d v="2025-02-14T00:00:00"/>
    <d v="1899-12-30T22:14:00"/>
    <s v="Recharge"/>
    <x v="0"/>
    <n v="19"/>
    <s v="Person_18"/>
    <x v="1"/>
  </r>
  <r>
    <n v="88"/>
    <d v="2025-02-15T00:00:00"/>
    <d v="1899-12-30T10:56:00"/>
    <s v="Person/Merchant Payment"/>
    <x v="0"/>
    <n v="100"/>
    <s v="Person_6"/>
    <x v="1"/>
  </r>
  <r>
    <n v="89"/>
    <d v="2025-02-15T00:00:00"/>
    <d v="1899-12-30T10:56:00"/>
    <s v="Person/Merchant Payment"/>
    <x v="0"/>
    <n v="100"/>
    <s v="Person_30"/>
    <x v="1"/>
  </r>
  <r>
    <n v="90"/>
    <d v="2025-02-17T00:00:00"/>
    <d v="1899-12-30T11:25:00"/>
    <s v="Money Received"/>
    <x v="1"/>
    <n v="5000"/>
    <s v="Person_31"/>
    <x v="1"/>
  </r>
  <r>
    <n v="91"/>
    <d v="2025-02-19T00:00:00"/>
    <d v="1899-12-30T13:46:00"/>
    <s v="Money Received"/>
    <x v="1"/>
    <n v="80"/>
    <s v="Person_12"/>
    <x v="1"/>
  </r>
  <r>
    <n v="92"/>
    <d v="2025-02-19T00:00:00"/>
    <d v="1899-12-30T13:47:00"/>
    <s v="UPI Lite Top-up"/>
    <x v="0"/>
    <n v="80"/>
    <s v="Person_4"/>
    <x v="1"/>
  </r>
  <r>
    <n v="93"/>
    <d v="2025-02-19T00:00:00"/>
    <d v="1899-12-30T16:09:00"/>
    <s v="Money Received"/>
    <x v="1"/>
    <n v="300"/>
    <s v="Person_12"/>
    <x v="1"/>
  </r>
  <r>
    <n v="94"/>
    <d v="2025-02-19T00:00:00"/>
    <d v="1899-12-30T22:08:00"/>
    <s v="UPI Lite Top-up"/>
    <x v="0"/>
    <n v="317"/>
    <s v="Person_4"/>
    <x v="1"/>
  </r>
  <r>
    <n v="95"/>
    <d v="2025-02-19T00:00:00"/>
    <d v="1899-12-30T22:08:00"/>
    <s v="Person/Merchant Payment"/>
    <x v="0"/>
    <n v="81"/>
    <s v="Person_6"/>
    <x v="1"/>
  </r>
  <r>
    <n v="96"/>
    <d v="2025-02-19T00:00:00"/>
    <d v="1899-12-30T22:09:00"/>
    <s v="UPI Lite Top-up"/>
    <x v="0"/>
    <n v="81"/>
    <s v="Person_4"/>
    <x v="1"/>
  </r>
  <r>
    <n v="97"/>
    <d v="2025-02-20T00:00:00"/>
    <d v="1899-12-30T12:05:00"/>
    <s v="Others"/>
    <x v="0"/>
    <n v="129"/>
    <s v="Person_29"/>
    <x v="1"/>
  </r>
  <r>
    <n v="98"/>
    <d v="2025-02-20T00:00:00"/>
    <d v="1899-12-30T14:35:00"/>
    <s v="Person/Merchant Payment"/>
    <x v="0"/>
    <n v="293"/>
    <s v="Person_12"/>
    <x v="1"/>
  </r>
  <r>
    <n v="99"/>
    <d v="2025-02-20T00:00:00"/>
    <d v="1899-12-30T14:36:00"/>
    <s v="Money Received"/>
    <x v="1"/>
    <n v="293"/>
    <s v="Person_12"/>
    <x v="1"/>
  </r>
  <r>
    <n v="100"/>
    <d v="2025-02-21T00:00:00"/>
    <d v="1899-12-30T14:35:00"/>
    <s v="Money Received"/>
    <x v="1"/>
    <n v="10"/>
    <s v="Person_12"/>
    <x v="1"/>
  </r>
  <r>
    <n v="101"/>
    <d v="2025-02-21T00:00:00"/>
    <d v="1899-12-30T14:35:00"/>
    <s v="UPI Lite Top-up"/>
    <x v="0"/>
    <n v="10"/>
    <s v="Person_4"/>
    <x v="1"/>
  </r>
  <r>
    <n v="102"/>
    <d v="2025-02-24T00:00:00"/>
    <d v="1899-12-30T09:42:00"/>
    <s v="Person/Merchant Payment"/>
    <x v="0"/>
    <n v="5000"/>
    <s v="Person_12"/>
    <x v="1"/>
  </r>
  <r>
    <n v="103"/>
    <d v="2025-02-24T00:00:00"/>
    <d v="1899-12-30T10:04:00"/>
    <s v="Money Received"/>
    <x v="1"/>
    <n v="5000"/>
    <s v="Person_12"/>
    <x v="1"/>
  </r>
  <r>
    <n v="104"/>
    <d v="2025-02-24T00:00:00"/>
    <d v="1899-12-30T13:54:00"/>
    <s v="Money Received"/>
    <x v="1"/>
    <n v="300"/>
    <s v="Person_12"/>
    <x v="1"/>
  </r>
  <r>
    <n v="105"/>
    <d v="2025-02-24T00:00:00"/>
    <d v="1899-12-30T14:07:00"/>
    <s v="Person/Merchant Payment"/>
    <x v="0"/>
    <n v="167"/>
    <s v="Person_32"/>
    <x v="1"/>
  </r>
  <r>
    <n v="106"/>
    <d v="2025-02-27T00:00:00"/>
    <d v="1899-12-30T17:00:00"/>
    <s v="Money Received"/>
    <x v="1"/>
    <n v="50"/>
    <s v="Person_12"/>
    <x v="1"/>
  </r>
  <r>
    <n v="107"/>
    <d v="2025-02-28T00:00:00"/>
    <d v="1899-12-30T14:07:00"/>
    <s v="Person/Merchant Payment"/>
    <x v="0"/>
    <n v="1000"/>
    <s v="Person_7"/>
    <x v="1"/>
  </r>
  <r>
    <n v="108"/>
    <d v="2025-02-28T00:00:00"/>
    <d v="1899-12-30T20:30:00"/>
    <s v="UPI Lite Top-up"/>
    <x v="0"/>
    <n v="183"/>
    <s v="Person_4"/>
    <x v="1"/>
  </r>
  <r>
    <n v="109"/>
    <d v="2025-02-28T00:00:00"/>
    <d v="1899-12-30T20:31:00"/>
    <s v="Person/Merchant Payment"/>
    <x v="0"/>
    <n v="200"/>
    <s v="Person_7"/>
    <x v="1"/>
  </r>
  <r>
    <n v="110"/>
    <d v="2025-03-01T00:00:00"/>
    <d v="1899-12-30T10:15:00"/>
    <s v="Person/Merchant Payment"/>
    <x v="0"/>
    <n v="1000"/>
    <s v="Person_2"/>
    <x v="2"/>
  </r>
  <r>
    <n v="111"/>
    <d v="2025-03-01T00:00:00"/>
    <d v="1899-12-30T14:24:00"/>
    <s v="Money Received"/>
    <x v="1"/>
    <n v="195"/>
    <s v="Person_3"/>
    <x v="2"/>
  </r>
  <r>
    <n v="112"/>
    <d v="2025-03-01T00:00:00"/>
    <d v="1899-12-30T15:33:00"/>
    <s v="Person/Merchant Payment"/>
    <x v="0"/>
    <n v="1510"/>
    <s v="Person_25"/>
    <x v="2"/>
  </r>
  <r>
    <n v="113"/>
    <d v="2025-03-01T00:00:00"/>
    <d v="1899-12-30T16:15:00"/>
    <s v="Person/Merchant Payment"/>
    <x v="0"/>
    <n v="448"/>
    <s v="Person_33"/>
    <x v="2"/>
  </r>
  <r>
    <n v="114"/>
    <d v="2025-03-01T00:00:00"/>
    <d v="1899-12-30T18:13:00"/>
    <s v="Person/Merchant Payment"/>
    <x v="0"/>
    <n v="170"/>
    <s v="Person_34"/>
    <x v="2"/>
  </r>
  <r>
    <n v="115"/>
    <d v="2025-03-01T00:00:00"/>
    <d v="1899-12-30T18:18:00"/>
    <s v="Person/Merchant Payment"/>
    <x v="0"/>
    <n v="257"/>
    <s v="Person_35"/>
    <x v="2"/>
  </r>
  <r>
    <n v="116"/>
    <d v="2025-03-01T00:00:00"/>
    <d v="1899-12-30T18:54:00"/>
    <s v="UPI Lite Top-up"/>
    <x v="0"/>
    <n v="170"/>
    <s v="Person_4"/>
    <x v="2"/>
  </r>
  <r>
    <n v="117"/>
    <d v="2025-03-01T00:00:00"/>
    <d v="1899-12-30T19:03:00"/>
    <s v="Person/Merchant Payment"/>
    <x v="0"/>
    <n v="100"/>
    <s v="Person_36"/>
    <x v="2"/>
  </r>
  <r>
    <n v="118"/>
    <d v="2025-03-01T00:00:00"/>
    <d v="1899-12-30T19:04:00"/>
    <s v="Person/Merchant Payment"/>
    <x v="0"/>
    <n v="50"/>
    <s v="Person_37"/>
    <x v="2"/>
  </r>
  <r>
    <n v="119"/>
    <d v="2025-03-01T00:00:00"/>
    <d v="1899-12-30T20:57:00"/>
    <s v="UPI Lite Top-up"/>
    <x v="0"/>
    <n v="150"/>
    <s v="Person_4"/>
    <x v="2"/>
  </r>
  <r>
    <n v="120"/>
    <d v="2025-03-01T00:00:00"/>
    <d v="1899-12-30T21:12:00"/>
    <s v="Money Received"/>
    <x v="1"/>
    <n v="250"/>
    <s v="Person_2"/>
    <x v="2"/>
  </r>
  <r>
    <n v="121"/>
    <d v="2025-03-01T00:00:00"/>
    <d v="1899-12-30T21:12:00"/>
    <s v="Money Received"/>
    <x v="1"/>
    <n v="36"/>
    <s v="Person_2"/>
    <x v="2"/>
  </r>
  <r>
    <n v="122"/>
    <d v="2025-03-01T00:00:00"/>
    <d v="1899-12-30T21:15:00"/>
    <s v="Person/Merchant Payment"/>
    <x v="0"/>
    <n v="286"/>
    <s v="Person_7"/>
    <x v="2"/>
  </r>
  <r>
    <n v="123"/>
    <d v="2025-03-02T00:00:00"/>
    <d v="1899-12-30T14:29:00"/>
    <s v="Person/Merchant Payment"/>
    <x v="0"/>
    <n v="1200"/>
    <s v="Person_12"/>
    <x v="2"/>
  </r>
  <r>
    <n v="124"/>
    <d v="2025-03-03T00:00:00"/>
    <d v="1899-12-30T17:45:00"/>
    <s v="Money Received"/>
    <x v="1"/>
    <n v="2000"/>
    <s v="Person_38"/>
    <x v="2"/>
  </r>
  <r>
    <n v="125"/>
    <d v="2025-03-03T00:00:00"/>
    <d v="1899-12-30T19:03:00"/>
    <s v="Person/Merchant Payment"/>
    <x v="0"/>
    <n v="1200"/>
    <s v="Person_7"/>
    <x v="2"/>
  </r>
  <r>
    <n v="126"/>
    <d v="2025-03-06T00:00:00"/>
    <d v="1899-12-30T18:24:00"/>
    <s v="Person/Merchant Payment"/>
    <x v="0"/>
    <n v="800"/>
    <s v="Person_7"/>
    <x v="2"/>
  </r>
  <r>
    <n v="127"/>
    <d v="2025-03-08T00:00:00"/>
    <d v="1899-12-30T21:22:00"/>
    <s v="Person/Merchant Payment"/>
    <x v="0"/>
    <n v="65"/>
    <s v="Person_1"/>
    <x v="2"/>
  </r>
  <r>
    <n v="128"/>
    <d v="2025-03-09T00:00:00"/>
    <d v="1899-12-30T19:30:00"/>
    <s v="Person/Merchant Payment"/>
    <x v="0"/>
    <n v="93"/>
    <s v="Person_17"/>
    <x v="2"/>
  </r>
  <r>
    <n v="129"/>
    <d v="2025-03-10T00:00:00"/>
    <d v="1899-12-30T20:37:00"/>
    <s v="Money Received"/>
    <x v="1"/>
    <n v="1000"/>
    <s v="Person_12"/>
    <x v="2"/>
  </r>
  <r>
    <n v="130"/>
    <d v="2025-03-11T00:00:00"/>
    <d v="1899-12-30T18:59:00"/>
    <s v="Person/Merchant Payment"/>
    <x v="0"/>
    <n v="1000"/>
    <s v="Person_7"/>
    <x v="2"/>
  </r>
  <r>
    <n v="131"/>
    <d v="2025-03-12T00:00:00"/>
    <d v="1899-12-30T12:24:00"/>
    <s v="Person/Merchant Payment"/>
    <x v="0"/>
    <n v="55"/>
    <s v="Person_8"/>
    <x v="2"/>
  </r>
  <r>
    <n v="132"/>
    <d v="2025-03-12T00:00:00"/>
    <d v="1899-12-30T18:06:00"/>
    <s v="Person/Merchant Payment"/>
    <x v="0"/>
    <n v="1800"/>
    <s v="Person_28"/>
    <x v="2"/>
  </r>
  <r>
    <n v="133"/>
    <d v="2025-03-15T00:00:00"/>
    <d v="1899-12-30T08:50:00"/>
    <s v="Person/Merchant Payment"/>
    <x v="0"/>
    <n v="10"/>
    <s v="Person_37"/>
    <x v="2"/>
  </r>
  <r>
    <n v="134"/>
    <d v="2025-03-17T00:00:00"/>
    <d v="1899-12-30T13:08:00"/>
    <s v="Money Received"/>
    <x v="1"/>
    <n v="1800"/>
    <s v="Person_28"/>
    <x v="2"/>
  </r>
  <r>
    <n v="135"/>
    <d v="2025-03-17T00:00:00"/>
    <d v="1899-12-30T13:23:00"/>
    <s v="Person/Merchant Payment"/>
    <x v="0"/>
    <n v="1800"/>
    <s v="Person_7"/>
    <x v="2"/>
  </r>
  <r>
    <n v="136"/>
    <d v="2025-03-17T00:00:00"/>
    <d v="1899-12-30T20:35:00"/>
    <s v="Person/Merchant Payment"/>
    <x v="0"/>
    <n v="14"/>
    <s v="Person_22"/>
    <x v="2"/>
  </r>
  <r>
    <n v="137"/>
    <d v="2025-03-19T00:00:00"/>
    <d v="1899-12-30T13:50:00"/>
    <s v="Person/Merchant Payment"/>
    <x v="0"/>
    <n v="40"/>
    <s v="Person_39"/>
    <x v="2"/>
  </r>
  <r>
    <n v="138"/>
    <d v="2025-03-20T00:00:00"/>
    <d v="1899-12-30T19:48:00"/>
    <s v="Money Received"/>
    <x v="1"/>
    <n v="100"/>
    <s v="Person_37"/>
    <x v="2"/>
  </r>
  <r>
    <n v="139"/>
    <d v="2025-03-21T00:00:00"/>
    <d v="1899-12-30T17:13:00"/>
    <s v="Person/Merchant Payment"/>
    <x v="0"/>
    <n v="2500"/>
    <s v="Person_12"/>
    <x v="2"/>
  </r>
  <r>
    <n v="140"/>
    <d v="2025-03-21T00:00:00"/>
    <d v="1899-12-30T17:18:00"/>
    <s v="UPI Lite Top-up"/>
    <x v="0"/>
    <n v="100"/>
    <s v="Person_4"/>
    <x v="2"/>
  </r>
  <r>
    <n v="141"/>
    <d v="2025-03-21T00:00:00"/>
    <d v="1899-12-30T17:18:00"/>
    <s v="UPI Lite Top-up"/>
    <x v="0"/>
    <n v="4"/>
    <s v="Person_4"/>
    <x v="2"/>
  </r>
  <r>
    <n v="142"/>
    <d v="2025-03-21T00:00:00"/>
    <d v="1899-12-30T17:24:00"/>
    <s v="Money Received"/>
    <x v="1"/>
    <n v="100"/>
    <s v="Person_12"/>
    <x v="2"/>
  </r>
  <r>
    <n v="143"/>
    <d v="2025-03-23T00:00:00"/>
    <d v="1899-12-30T16:43:00"/>
    <s v="Money Received"/>
    <x v="1"/>
    <n v="300"/>
    <s v="Person_12"/>
    <x v="2"/>
  </r>
  <r>
    <n v="144"/>
    <d v="2025-03-24T00:00:00"/>
    <d v="1899-12-30T19:19:00"/>
    <s v="Person/Merchant Payment"/>
    <x v="0"/>
    <n v="100"/>
    <s v="Person_40"/>
    <x v="2"/>
  </r>
  <r>
    <n v="145"/>
    <d v="2025-03-24T00:00:00"/>
    <d v="1899-12-30T20:35:00"/>
    <s v="Money Received"/>
    <x v="1"/>
    <n v="200"/>
    <s v="Person_37"/>
    <x v="2"/>
  </r>
  <r>
    <n v="146"/>
    <d v="2025-03-24T00:00:00"/>
    <d v="1899-12-30T23:37:00"/>
    <s v="Money Received"/>
    <x v="1"/>
    <n v="100"/>
    <s v="Person_1"/>
    <x v="2"/>
  </r>
  <r>
    <n v="147"/>
    <d v="2025-03-24T00:00:00"/>
    <d v="1899-12-30T23:38:00"/>
    <s v="Money Received"/>
    <x v="1"/>
    <n v="100"/>
    <s v="Person_11"/>
    <x v="2"/>
  </r>
  <r>
    <n v="148"/>
    <d v="2025-03-24T00:00:00"/>
    <d v="1899-12-30T23:38:00"/>
    <s v="Person/Merchant Payment"/>
    <x v="0"/>
    <n v="400"/>
    <s v="Person_40"/>
    <x v="2"/>
  </r>
  <r>
    <n v="149"/>
    <d v="2025-03-24T00:00:00"/>
    <d v="1899-12-30T23:48:00"/>
    <s v="Person/Merchant Payment"/>
    <x v="0"/>
    <n v="400"/>
    <s v="Person_7"/>
    <x v="2"/>
  </r>
  <r>
    <n v="150"/>
    <d v="2025-03-25T00:00:00"/>
    <d v="1899-12-30T07:32:00"/>
    <s v="Person/Merchant Payment"/>
    <x v="0"/>
    <n v="100"/>
    <s v="Person_6"/>
    <x v="2"/>
  </r>
  <r>
    <n v="151"/>
    <d v="2025-03-25T00:00:00"/>
    <d v="1899-12-30T07:32:00"/>
    <s v="Person/Merchant Payment"/>
    <x v="0"/>
    <n v="300"/>
    <s v="Person_7"/>
    <x v="2"/>
  </r>
  <r>
    <n v="152"/>
    <d v="2025-03-25T00:00:00"/>
    <d v="1899-12-30T12:07:00"/>
    <s v="Money Received"/>
    <x v="1"/>
    <n v="785"/>
    <s v="Person_41"/>
    <x v="2"/>
  </r>
  <r>
    <n v="153"/>
    <d v="2025-03-25T00:00:00"/>
    <d v="1899-12-30T15:46:00"/>
    <s v="Person/Merchant Payment"/>
    <x v="0"/>
    <n v="400"/>
    <s v="Person_37"/>
    <x v="2"/>
  </r>
  <r>
    <n v="154"/>
    <d v="2025-03-26T00:00:00"/>
    <d v="1899-12-30T12:02:00"/>
    <s v="Money Received"/>
    <x v="1"/>
    <n v="25"/>
    <s v="Person_3"/>
    <x v="2"/>
  </r>
  <r>
    <n v="155"/>
    <d v="2025-03-26T00:00:00"/>
    <d v="1899-12-30T12:03:00"/>
    <s v="Person/Merchant Payment"/>
    <x v="0"/>
    <n v="25"/>
    <s v="Person_11"/>
    <x v="2"/>
  </r>
  <r>
    <n v="156"/>
    <d v="2025-03-26T00:00:00"/>
    <d v="1899-12-30T13:59:00"/>
    <s v="Money Received"/>
    <x v="1"/>
    <n v="200"/>
    <s v="Person_37"/>
    <x v="2"/>
  </r>
  <r>
    <n v="157"/>
    <d v="2025-03-26T00:00:00"/>
    <d v="1899-12-30T14:03:00"/>
    <s v="Person/Merchant Payment"/>
    <x v="0"/>
    <n v="500"/>
    <s v="Person_7"/>
    <x v="2"/>
  </r>
  <r>
    <n v="158"/>
    <d v="2025-03-26T00:00:00"/>
    <d v="1899-12-30T14:04:00"/>
    <s v="Person/Merchant Payment"/>
    <x v="0"/>
    <n v="200"/>
    <s v="Person_37"/>
    <x v="2"/>
  </r>
  <r>
    <n v="159"/>
    <d v="2025-03-26T00:00:00"/>
    <d v="1899-12-30T14:35:00"/>
    <s v="Money Received"/>
    <x v="1"/>
    <n v="200"/>
    <s v="Person_37"/>
    <x v="2"/>
  </r>
  <r>
    <n v="160"/>
    <d v="2025-03-26T00:00:00"/>
    <d v="1899-12-30T19:15:00"/>
    <s v="Person/Merchant Payment"/>
    <x v="0"/>
    <n v="100"/>
    <s v="Person_40"/>
    <x v="2"/>
  </r>
  <r>
    <n v="161"/>
    <d v="2025-03-26T00:00:00"/>
    <d v="1899-12-30T22:22:00"/>
    <s v="Money Received"/>
    <x v="1"/>
    <n v="19"/>
    <s v="Person_12"/>
    <x v="2"/>
  </r>
  <r>
    <n v="162"/>
    <d v="2025-03-27T00:00:00"/>
    <d v="1899-12-30T12:26:00"/>
    <s v="Person/Merchant Payment"/>
    <x v="0"/>
    <n v="20"/>
    <s v="Person_37"/>
    <x v="2"/>
  </r>
  <r>
    <n v="163"/>
    <d v="2025-03-27T00:00:00"/>
    <d v="1899-12-30T12:33:00"/>
    <s v="Money Received"/>
    <x v="1"/>
    <n v="53"/>
    <s v="Person_12"/>
    <x v="2"/>
  </r>
  <r>
    <n v="164"/>
    <d v="2025-03-27T00:00:00"/>
    <d v="1899-12-30T18:55:00"/>
    <s v="Person/Merchant Payment"/>
    <x v="0"/>
    <n v="40"/>
    <s v="Person_42"/>
    <x v="2"/>
  </r>
  <r>
    <n v="165"/>
    <d v="2025-03-27T00:00:00"/>
    <d v="1899-12-30T21:47:00"/>
    <s v="Others"/>
    <x v="0"/>
    <n v="126"/>
    <s v="Person_29"/>
    <x v="2"/>
  </r>
  <r>
    <n v="166"/>
    <d v="2025-03-28T00:00:00"/>
    <d v="1899-12-30T12:12:00"/>
    <s v="Person/Merchant Payment"/>
    <x v="0"/>
    <n v="16"/>
    <s v="Person_37"/>
    <x v="2"/>
  </r>
  <r>
    <n v="167"/>
    <d v="2025-03-29T00:00:00"/>
    <d v="1899-12-30T10:09:00"/>
    <s v="Person/Merchant Payment"/>
    <x v="0"/>
    <n v="32"/>
    <s v="Person_43"/>
    <x v="2"/>
  </r>
  <r>
    <n v="168"/>
    <d v="2025-03-29T00:00:00"/>
    <d v="1899-12-30T10:15:00"/>
    <s v="Money Received"/>
    <x v="1"/>
    <n v="32"/>
    <s v="Person_12"/>
    <x v="2"/>
  </r>
  <r>
    <n v="169"/>
    <d v="2025-03-29T00:00:00"/>
    <d v="1899-12-30T10:18:00"/>
    <s v="Person/Merchant Payment"/>
    <x v="0"/>
    <n v="32"/>
    <s v="Person_7"/>
    <x v="2"/>
  </r>
  <r>
    <n v="170"/>
    <d v="2025-03-29T00:00:00"/>
    <d v="1899-12-30T10:25:00"/>
    <s v="Person/Merchant Payment"/>
    <x v="0"/>
    <n v="83"/>
    <s v="Person_6"/>
    <x v="2"/>
  </r>
  <r>
    <n v="171"/>
    <d v="2025-03-29T00:00:00"/>
    <d v="1899-12-30T10:25:00"/>
    <s v="UPI Lite Top-up"/>
    <x v="0"/>
    <n v="83"/>
    <s v="Person_4"/>
    <x v="2"/>
  </r>
  <r>
    <n v="172"/>
    <d v="2025-03-29T00:00:00"/>
    <d v="1899-12-30T10:26:00"/>
    <s v="UPI Lite Top-up"/>
    <x v="0"/>
    <n v="4"/>
    <s v="Person_4"/>
    <x v="2"/>
  </r>
  <r>
    <n v="173"/>
    <d v="2025-03-29T00:00:00"/>
    <d v="1899-12-30T10:26:00"/>
    <s v="Money Received"/>
    <x v="1"/>
    <n v="4"/>
    <s v="Person_12"/>
    <x v="2"/>
  </r>
  <r>
    <n v="174"/>
    <d v="2025-03-29T00:00:00"/>
    <d v="1899-12-30T10:27:00"/>
    <s v="Others"/>
    <x v="0"/>
    <n v="95"/>
    <s v="Person_29"/>
    <x v="2"/>
  </r>
  <r>
    <n v="175"/>
    <d v="2025-03-29T00:00:00"/>
    <d v="1899-12-30T11:52:00"/>
    <s v="Money Received"/>
    <x v="1"/>
    <n v="680"/>
    <s v="Person_37"/>
    <x v="2"/>
  </r>
  <r>
    <n v="176"/>
    <d v="2025-04-02T00:00:00"/>
    <d v="1899-12-30T17:27:00"/>
    <s v="Person/Merchant Payment"/>
    <x v="0"/>
    <n v="1200"/>
    <s v="Person_12"/>
    <x v="3"/>
  </r>
  <r>
    <n v="177"/>
    <d v="2025-04-04T00:00:00"/>
    <d v="1899-12-30T12:39:00"/>
    <s v="Person/Merchant Payment"/>
    <x v="0"/>
    <n v="20"/>
    <s v="Person_37"/>
    <x v="3"/>
  </r>
  <r>
    <n v="178"/>
    <d v="2025-04-04T00:00:00"/>
    <d v="1899-12-30T15:10:00"/>
    <s v="Money Received"/>
    <x v="1"/>
    <n v="3000"/>
    <s v="Person_11"/>
    <x v="3"/>
  </r>
  <r>
    <n v="179"/>
    <d v="2025-04-04T00:00:00"/>
    <d v="1899-12-30T15:11:00"/>
    <s v="Person/Merchant Payment"/>
    <x v="0"/>
    <n v="3000"/>
    <s v="Person_12"/>
    <x v="3"/>
  </r>
  <r>
    <n v="180"/>
    <d v="2025-04-06T00:00:00"/>
    <d v="1899-12-30T09:57:00"/>
    <s v="Person/Merchant Payment"/>
    <x v="0"/>
    <n v="1800"/>
    <s v="Person_12"/>
    <x v="3"/>
  </r>
  <r>
    <n v="181"/>
    <d v="2025-04-06T00:00:00"/>
    <d v="1899-12-30T09:58:00"/>
    <s v="Person/Merchant Payment"/>
    <x v="0"/>
    <n v="200"/>
    <s v="Person_12"/>
    <x v="3"/>
  </r>
  <r>
    <n v="182"/>
    <d v="2025-04-06T00:00:00"/>
    <d v="1899-12-30T10:03:00"/>
    <s v="Person/Merchant Payment"/>
    <x v="0"/>
    <n v="100"/>
    <s v="Person_11"/>
    <x v="3"/>
  </r>
  <r>
    <n v="183"/>
    <d v="2025-04-06T00:00:00"/>
    <d v="1899-12-30T12:35:00"/>
    <s v="Person/Merchant Payment"/>
    <x v="0"/>
    <n v="36"/>
    <s v="Person_12"/>
    <x v="3"/>
  </r>
  <r>
    <n v="184"/>
    <d v="2025-04-06T00:00:00"/>
    <d v="1899-12-30T19:00:00"/>
    <s v="Money Received"/>
    <x v="1"/>
    <n v="14"/>
    <s v="Person_2"/>
    <x v="3"/>
  </r>
  <r>
    <n v="185"/>
    <d v="2025-04-07T00:00:00"/>
    <d v="1899-12-30T16:39:00"/>
    <s v="Money Received"/>
    <x v="1"/>
    <n v="200"/>
    <s v="Person_37"/>
    <x v="3"/>
  </r>
  <r>
    <n v="186"/>
    <d v="2025-04-07T00:00:00"/>
    <d v="1899-12-30T18:14:00"/>
    <s v="Money Received"/>
    <x v="1"/>
    <n v="200"/>
    <s v="Person_2"/>
    <x v="3"/>
  </r>
  <r>
    <n v="187"/>
    <d v="2025-04-07T00:00:00"/>
    <d v="1899-12-30T18:19:00"/>
    <s v="Person/Merchant Payment"/>
    <x v="0"/>
    <n v="200"/>
    <s v="Person_40"/>
    <x v="3"/>
  </r>
  <r>
    <n v="188"/>
    <d v="2025-04-07T00:00:00"/>
    <d v="1899-12-30T20:36:00"/>
    <s v="Money Received"/>
    <x v="1"/>
    <n v="22"/>
    <s v="Person_37"/>
    <x v="3"/>
  </r>
  <r>
    <n v="189"/>
    <d v="2025-04-07T00:00:00"/>
    <d v="1899-12-30T21:00:00"/>
    <s v="Money Received"/>
    <x v="1"/>
    <n v="200"/>
    <s v="Person_3"/>
    <x v="3"/>
  </r>
  <r>
    <n v="190"/>
    <d v="2025-04-07T00:00:00"/>
    <d v="1899-12-30T21:01:00"/>
    <s v="Person/Merchant Payment"/>
    <x v="0"/>
    <n v="300"/>
    <s v="Person_44"/>
    <x v="3"/>
  </r>
  <r>
    <n v="191"/>
    <d v="2025-04-10T00:00:00"/>
    <d v="1899-12-30T13:33:00"/>
    <s v="Person/Merchant Payment"/>
    <x v="0"/>
    <n v="70"/>
    <s v="Person_45"/>
    <x v="3"/>
  </r>
  <r>
    <n v="192"/>
    <d v="2025-04-11T00:00:00"/>
    <d v="1899-12-30T13:13:00"/>
    <s v="Money Received"/>
    <x v="1"/>
    <n v="35"/>
    <s v="Person_45"/>
    <x v="3"/>
  </r>
  <r>
    <n v="193"/>
    <d v="2025-04-11T00:00:00"/>
    <d v="1899-12-30T13:13:00"/>
    <s v="Money Received"/>
    <x v="1"/>
    <n v="70"/>
    <s v="Person_12"/>
    <x v="3"/>
  </r>
  <r>
    <n v="194"/>
    <d v="2025-04-11T00:00:00"/>
    <d v="1899-12-30T13:35:00"/>
    <s v="Person/Merchant Payment"/>
    <x v="0"/>
    <n v="31"/>
    <s v="Person_15"/>
    <x v="3"/>
  </r>
  <r>
    <n v="195"/>
    <d v="2025-04-11T00:00:00"/>
    <d v="1899-12-30T19:04:00"/>
    <s v="Money Received"/>
    <x v="1"/>
    <n v="1000"/>
    <s v="Person_12"/>
    <x v="3"/>
  </r>
  <r>
    <n v="196"/>
    <d v="2025-04-12T00:00:00"/>
    <d v="1899-12-30T09:11:00"/>
    <s v="Money Received"/>
    <x v="1"/>
    <n v="2000"/>
    <s v="Person_12"/>
    <x v="3"/>
  </r>
  <r>
    <n v="197"/>
    <d v="2025-04-12T00:00:00"/>
    <d v="1899-12-30T11:20:00"/>
    <s v="Person/Merchant Payment"/>
    <x v="0"/>
    <n v="50"/>
    <s v="Person_45"/>
    <x v="3"/>
  </r>
  <r>
    <n v="198"/>
    <d v="2025-04-13T00:00:00"/>
    <d v="1899-12-30T12:18:00"/>
    <s v="Person/Merchant Payment"/>
    <x v="0"/>
    <n v="2000"/>
    <s v="Person_45"/>
    <x v="3"/>
  </r>
  <r>
    <n v="199"/>
    <d v="2025-04-13T00:00:00"/>
    <d v="1899-12-30T12:36:00"/>
    <s v="Money Received"/>
    <x v="1"/>
    <n v="2000"/>
    <s v="Person_12"/>
    <x v="3"/>
  </r>
  <r>
    <n v="200"/>
    <d v="2025-04-13T00:00:00"/>
    <d v="1899-12-30T14:47:00"/>
    <s v="Money Received"/>
    <x v="1"/>
    <n v="300"/>
    <s v="Person_12"/>
    <x v="3"/>
  </r>
  <r>
    <n v="201"/>
    <d v="2025-04-13T00:00:00"/>
    <d v="1899-12-30T14:47:00"/>
    <s v="Person/Merchant Payment"/>
    <x v="0"/>
    <n v="300"/>
    <s v="Person_12"/>
    <x v="3"/>
  </r>
  <r>
    <n v="202"/>
    <d v="2025-04-13T00:00:00"/>
    <d v="1899-12-30T16:50:00"/>
    <s v="Money Received"/>
    <x v="1"/>
    <n v="1700"/>
    <s v="Person_45"/>
    <x v="3"/>
  </r>
  <r>
    <n v="203"/>
    <d v="2025-04-13T00:00:00"/>
    <d v="1899-12-30T16:53:00"/>
    <s v="Person/Merchant Payment"/>
    <x v="0"/>
    <n v="1700"/>
    <s v="Person_44"/>
    <x v="3"/>
  </r>
  <r>
    <n v="204"/>
    <d v="2025-04-13T00:00:00"/>
    <d v="1899-12-30T23:09:00"/>
    <s v="Person/Merchant Payment"/>
    <x v="0"/>
    <n v="100"/>
    <s v="Person_46"/>
    <x v="3"/>
  </r>
  <r>
    <n v="205"/>
    <d v="2025-04-14T00:00:00"/>
    <d v="1899-12-30T09:03:00"/>
    <s v="Person/Merchant Payment"/>
    <x v="0"/>
    <n v="1079"/>
    <s v="Person_12"/>
    <x v="3"/>
  </r>
  <r>
    <n v="206"/>
    <d v="2025-04-14T00:00:00"/>
    <d v="1899-12-30T10:05:00"/>
    <s v="Shopping"/>
    <x v="0"/>
    <n v="467"/>
    <s v="FLIPKART PAYMENTS"/>
    <x v="3"/>
  </r>
  <r>
    <n v="207"/>
    <d v="2025-04-15T00:00:00"/>
    <d v="1899-12-30T16:05:00"/>
    <s v="Person/Merchant Payment"/>
    <x v="0"/>
    <n v="80"/>
    <s v="Person_47"/>
    <x v="3"/>
  </r>
  <r>
    <n v="208"/>
    <d v="2025-04-15T00:00:00"/>
    <d v="1899-12-30T19:13:00"/>
    <s v="Money Received"/>
    <x v="1"/>
    <n v="3000"/>
    <s v="Person_45"/>
    <x v="3"/>
  </r>
  <r>
    <n v="209"/>
    <d v="2025-04-15T00:00:00"/>
    <d v="1899-12-30T19:19:00"/>
    <s v="Person/Merchant Payment"/>
    <x v="0"/>
    <n v="3000"/>
    <s v="Person_44"/>
    <x v="3"/>
  </r>
  <r>
    <n v="210"/>
    <d v="2025-04-15T00:00:00"/>
    <d v="1899-12-30T19:23:00"/>
    <s v="Money Received"/>
    <x v="1"/>
    <n v="500"/>
    <s v="Person_45"/>
    <x v="3"/>
  </r>
  <r>
    <n v="211"/>
    <d v="2025-04-15T00:00:00"/>
    <d v="1899-12-30T20:29:00"/>
    <s v="Person/Merchant Payment"/>
    <x v="0"/>
    <n v="800"/>
    <s v="Person_48"/>
    <x v="3"/>
  </r>
  <r>
    <n v="212"/>
    <d v="2025-04-16T00:00:00"/>
    <d v="1899-12-30T13:44:00"/>
    <s v="Money Received"/>
    <x v="1"/>
    <n v="200"/>
    <s v="Person_11"/>
    <x v="3"/>
  </r>
  <r>
    <n v="213"/>
    <d v="2025-04-16T00:00:00"/>
    <d v="1899-12-30T13:45:00"/>
    <s v="Money Received"/>
    <x v="1"/>
    <n v="200"/>
    <s v="Person_1"/>
    <x v="3"/>
  </r>
  <r>
    <n v="214"/>
    <d v="2025-04-16T00:00:00"/>
    <d v="1899-12-30T14:54:00"/>
    <s v="Person/Merchant Payment"/>
    <x v="0"/>
    <n v="330"/>
    <s v="Person_49"/>
    <x v="3"/>
  </r>
  <r>
    <n v="215"/>
    <d v="2025-04-16T00:00:00"/>
    <d v="1899-12-30T14:56:00"/>
    <s v="Person/Merchant Payment"/>
    <x v="0"/>
    <n v="10"/>
    <s v="Person_34"/>
    <x v="3"/>
  </r>
  <r>
    <n v="216"/>
    <d v="2025-04-16T00:00:00"/>
    <d v="1899-12-30T19:30:00"/>
    <s v="Person/Merchant Payment"/>
    <x v="0"/>
    <n v="60"/>
    <s v="Person_11"/>
    <x v="3"/>
  </r>
  <r>
    <n v="217"/>
    <d v="2025-04-17T00:00:00"/>
    <d v="1899-12-30T19:30:00"/>
    <s v="Money Received"/>
    <x v="1"/>
    <n v="100"/>
    <s v="Person_45"/>
    <x v="3"/>
  </r>
  <r>
    <n v="218"/>
    <d v="2025-04-18T00:00:00"/>
    <d v="1899-12-30T09:51:00"/>
    <s v="Money Received"/>
    <x v="1"/>
    <n v="40"/>
    <s v="Person_12"/>
    <x v="3"/>
  </r>
  <r>
    <n v="219"/>
    <d v="2025-04-18T00:00:00"/>
    <d v="1899-12-30T09:51:00"/>
    <s v="Money Received"/>
    <x v="1"/>
    <n v="2600"/>
    <s v="Person_50"/>
    <x v="3"/>
  </r>
  <r>
    <n v="220"/>
    <d v="2025-04-18T00:00:00"/>
    <d v="1899-12-30T09:52:00"/>
    <s v="Person/Merchant Payment"/>
    <x v="0"/>
    <n v="2640"/>
    <s v="Person_12"/>
    <x v="3"/>
  </r>
  <r>
    <n v="221"/>
    <d v="2025-04-18T00:00:00"/>
    <d v="1899-12-30T11:21:00"/>
    <s v="Person/Merchant Payment"/>
    <x v="0"/>
    <n v="4000"/>
    <s v="Person_45"/>
    <x v="3"/>
  </r>
  <r>
    <n v="222"/>
    <d v="2025-04-18T00:00:00"/>
    <d v="1899-12-30T14:30:00"/>
    <s v="Person/Merchant Payment"/>
    <x v="0"/>
    <n v="300"/>
    <s v="Person_51"/>
    <x v="3"/>
  </r>
  <r>
    <n v="223"/>
    <d v="2025-04-18T00:00:00"/>
    <d v="1899-12-30T14:38:00"/>
    <s v="Person/Merchant Payment"/>
    <x v="0"/>
    <n v="260"/>
    <s v="Person_52"/>
    <x v="3"/>
  </r>
  <r>
    <n v="224"/>
    <d v="2025-04-18T00:00:00"/>
    <d v="1899-12-30T14:58:00"/>
    <s v="Person/Merchant Payment"/>
    <x v="0"/>
    <n v="50"/>
    <s v="Person_12"/>
    <x v="3"/>
  </r>
  <r>
    <n v="225"/>
    <d v="2025-04-18T00:00:00"/>
    <d v="1899-12-30T14:59:00"/>
    <s v="Person/Merchant Payment"/>
    <x v="0"/>
    <n v="10"/>
    <s v="Person_12"/>
    <x v="3"/>
  </r>
  <r>
    <n v="226"/>
    <d v="2025-04-18T00:00:00"/>
    <d v="1899-12-30T15:16:00"/>
    <s v="Person/Merchant Payment"/>
    <x v="0"/>
    <n v="60"/>
    <s v="Person_53"/>
    <x v="3"/>
  </r>
  <r>
    <n v="227"/>
    <d v="2025-04-19T00:00:00"/>
    <d v="1899-12-30T15:24:00"/>
    <s v="Money Received"/>
    <x v="1"/>
    <n v="2000"/>
    <s v="Person_45"/>
    <x v="3"/>
  </r>
  <r>
    <n v="228"/>
    <d v="2025-04-19T00:00:00"/>
    <d v="1899-12-30T15:27:00"/>
    <s v="Person/Merchant Payment"/>
    <x v="0"/>
    <n v="2000"/>
    <s v="Person_44"/>
    <x v="3"/>
  </r>
  <r>
    <n v="229"/>
    <d v="2025-04-20T00:00:00"/>
    <d v="1899-12-30T07:59:00"/>
    <s v="Money Received"/>
    <x v="1"/>
    <n v="30"/>
    <s v="Person_45"/>
    <x v="3"/>
  </r>
  <r>
    <n v="230"/>
    <d v="2025-04-20T00:00:00"/>
    <d v="1899-12-30T08:00:00"/>
    <s v="Person/Merchant Payment"/>
    <x v="0"/>
    <n v="30"/>
    <s v="Person_45"/>
    <x v="3"/>
  </r>
  <r>
    <n v="231"/>
    <d v="2025-04-20T00:00:00"/>
    <d v="1899-12-30T13:03:00"/>
    <s v="Person/Merchant Payment"/>
    <x v="0"/>
    <n v="2500"/>
    <s v="Person_45"/>
    <x v="3"/>
  </r>
  <r>
    <n v="232"/>
    <d v="2025-04-20T00:00:00"/>
    <d v="1899-12-30T13:05:00"/>
    <s v="Money Received"/>
    <x v="1"/>
    <n v="1000"/>
    <s v="Person_45"/>
    <x v="3"/>
  </r>
  <r>
    <n v="233"/>
    <d v="2025-04-20T00:00:00"/>
    <d v="1899-12-30T13:19:00"/>
    <s v="Money Received"/>
    <x v="1"/>
    <n v="3000"/>
    <s v="Person_12"/>
    <x v="3"/>
  </r>
  <r>
    <n v="234"/>
    <d v="2025-04-20T00:00:00"/>
    <d v="1899-12-30T13:22:00"/>
    <s v="Person/Merchant Payment"/>
    <x v="0"/>
    <n v="1000"/>
    <s v="Person_44"/>
    <x v="3"/>
  </r>
  <r>
    <n v="235"/>
    <d v="2025-04-20T00:00:00"/>
    <d v="1899-12-30T15:05:00"/>
    <s v="Person/Merchant Payment"/>
    <x v="0"/>
    <n v="530"/>
    <s v="Person_54"/>
    <x v="3"/>
  </r>
  <r>
    <n v="236"/>
    <d v="2025-04-20T00:00:00"/>
    <d v="1899-12-30T15:26:00"/>
    <s v="Money Received"/>
    <x v="1"/>
    <n v="1300"/>
    <s v="Person_45"/>
    <x v="3"/>
  </r>
  <r>
    <n v="237"/>
    <d v="2025-04-20T00:00:00"/>
    <d v="1899-12-30T15:29:00"/>
    <s v="Person/Merchant Payment"/>
    <x v="0"/>
    <n v="1300"/>
    <s v="Person_44"/>
    <x v="3"/>
  </r>
  <r>
    <n v="238"/>
    <d v="2025-04-21T00:00:00"/>
    <d v="1899-12-30T13:43:00"/>
    <s v="Person/Merchant Payment"/>
    <x v="0"/>
    <n v="500"/>
    <s v="Person_45"/>
    <x v="3"/>
  </r>
  <r>
    <n v="239"/>
    <d v="2025-04-21T00:00:00"/>
    <d v="1899-12-30T19:59:00"/>
    <s v="Money Received"/>
    <x v="1"/>
    <n v="2000"/>
    <s v="Person_55"/>
    <x v="3"/>
  </r>
  <r>
    <n v="240"/>
    <d v="2025-04-23T00:00:00"/>
    <d v="1899-12-30T20:24:00"/>
    <s v="Money Received"/>
    <x v="1"/>
    <n v="500"/>
    <s v="Person_45"/>
    <x v="3"/>
  </r>
  <r>
    <n v="241"/>
    <d v="2025-04-23T00:00:00"/>
    <d v="1899-12-30T20:26:00"/>
    <s v="Person/Merchant Payment"/>
    <x v="0"/>
    <n v="500"/>
    <s v="Person_44"/>
    <x v="3"/>
  </r>
  <r>
    <n v="242"/>
    <d v="2025-04-24T00:00:00"/>
    <d v="1899-12-30T21:00:00"/>
    <s v="Money Received"/>
    <x v="1"/>
    <n v="1500"/>
    <s v="Person_37"/>
    <x v="3"/>
  </r>
  <r>
    <n v="243"/>
    <d v="2025-04-24T00:00:00"/>
    <d v="1899-12-30T21:03:00"/>
    <s v="Person/Merchant Payment"/>
    <x v="0"/>
    <n v="1500"/>
    <s v="Person_56"/>
    <x v="3"/>
  </r>
  <r>
    <n v="244"/>
    <d v="2025-04-24T00:00:00"/>
    <d v="1899-12-30T22:29:00"/>
    <s v="Money Received"/>
    <x v="1"/>
    <n v="500"/>
    <s v="Person_45"/>
    <x v="3"/>
  </r>
  <r>
    <n v="245"/>
    <d v="2025-04-25T00:00:00"/>
    <d v="1899-12-30T09:04:00"/>
    <s v="Money Received"/>
    <x v="1"/>
    <n v="2000"/>
    <s v="Person_57"/>
    <x v="3"/>
  </r>
  <r>
    <n v="246"/>
    <d v="2025-04-25T00:00:00"/>
    <d v="1899-12-30T09:29:00"/>
    <s v="Person/Merchant Payment"/>
    <x v="0"/>
    <n v="20"/>
    <s v="Person_58"/>
    <x v="3"/>
  </r>
  <r>
    <n v="247"/>
    <d v="2025-04-25T00:00:00"/>
    <d v="1899-12-30T11:53:00"/>
    <s v="Money Received"/>
    <x v="1"/>
    <n v="500"/>
    <s v="Person_59"/>
    <x v="3"/>
  </r>
  <r>
    <n v="248"/>
    <d v="2025-04-25T00:00:00"/>
    <d v="1899-12-30T12:13:00"/>
    <s v="Person/Merchant Payment"/>
    <x v="0"/>
    <n v="4000"/>
    <s v="Person_60"/>
    <x v="3"/>
  </r>
  <r>
    <n v="249"/>
    <d v="2025-04-25T00:00:00"/>
    <d v="1899-12-30T12:27:00"/>
    <s v="Person/Merchant Payment"/>
    <x v="0"/>
    <n v="8"/>
    <s v="Person_11"/>
    <x v="3"/>
  </r>
  <r>
    <n v="250"/>
    <d v="2025-04-25T00:00:00"/>
    <d v="1899-12-30T12:27:00"/>
    <s v="Person/Merchant Payment"/>
    <x v="0"/>
    <n v="500"/>
    <s v="Person_7"/>
    <x v="3"/>
  </r>
  <r>
    <n v="251"/>
    <d v="2025-04-25T00:00:00"/>
    <d v="1899-12-30T13:08:00"/>
    <s v="Person/Merchant Payment"/>
    <x v="0"/>
    <n v="10"/>
    <s v="Person_61"/>
    <x v="3"/>
  </r>
  <r>
    <n v="252"/>
    <d v="2025-04-25T00:00:00"/>
    <d v="1899-12-30T15:26:00"/>
    <s v="Person/Merchant Payment"/>
    <x v="0"/>
    <n v="120"/>
    <s v="Person_62"/>
    <x v="3"/>
  </r>
  <r>
    <n v="253"/>
    <d v="2025-04-25T00:00:00"/>
    <d v="1899-12-30T15:46:00"/>
    <s v="Money Received"/>
    <x v="1"/>
    <n v="120"/>
    <s v="Person_37"/>
    <x v="3"/>
  </r>
  <r>
    <n v="254"/>
    <d v="2025-04-25T00:00:00"/>
    <d v="1899-12-30T22:13:00"/>
    <s v="Money Received"/>
    <x v="1"/>
    <n v="1700"/>
    <s v="Person_37"/>
    <x v="3"/>
  </r>
  <r>
    <n v="255"/>
    <d v="2025-04-25T00:00:00"/>
    <d v="1899-12-30T22:18:00"/>
    <s v="Person/Merchant Payment"/>
    <x v="0"/>
    <n v="1700"/>
    <s v="Person_63"/>
    <x v="3"/>
  </r>
  <r>
    <n v="256"/>
    <d v="2025-04-26T00:00:00"/>
    <d v="1899-12-30T11:17:00"/>
    <s v="Person/Merchant Payment"/>
    <x v="0"/>
    <n v="350"/>
    <s v="Person_11"/>
    <x v="3"/>
  </r>
  <r>
    <n v="257"/>
    <d v="2025-04-26T00:00:00"/>
    <d v="1899-12-30T13:58:00"/>
    <s v="Person/Merchant Payment"/>
    <x v="0"/>
    <n v="500"/>
    <s v="Person_45"/>
    <x v="3"/>
  </r>
  <r>
    <n v="258"/>
    <d v="2025-04-26T00:00:00"/>
    <d v="1899-12-30T16:15:00"/>
    <s v="Person/Merchant Payment"/>
    <x v="0"/>
    <n v="150"/>
    <s v="Person_33"/>
    <x v="3"/>
  </r>
  <r>
    <n v="259"/>
    <d v="2025-04-26T00:00:00"/>
    <d v="1899-12-30T16:33:00"/>
    <s v="Food &amp; Dining"/>
    <x v="0"/>
    <n v="30"/>
    <s v="Person_64"/>
    <x v="3"/>
  </r>
  <r>
    <n v="260"/>
    <d v="2025-04-26T00:00:00"/>
    <d v="1899-12-30T18:57:00"/>
    <s v="Money Received"/>
    <x v="1"/>
    <n v="350"/>
    <s v="Person_1"/>
    <x v="3"/>
  </r>
  <r>
    <n v="261"/>
    <d v="2025-04-26T00:00:00"/>
    <d v="1899-12-30T18:57:00"/>
    <s v="Money Received"/>
    <x v="1"/>
    <n v="350"/>
    <s v="Person_65"/>
    <x v="3"/>
  </r>
  <r>
    <n v="262"/>
    <d v="2025-04-26T00:00:00"/>
    <d v="1899-12-30T19:15:00"/>
    <s v="Money Received"/>
    <x v="1"/>
    <n v="350"/>
    <s v="Person_11"/>
    <x v="3"/>
  </r>
  <r>
    <n v="263"/>
    <d v="2025-04-26T00:00:00"/>
    <d v="1899-12-30T19:17:00"/>
    <s v="Money Received"/>
    <x v="1"/>
    <n v="1000"/>
    <s v="Person_11"/>
    <x v="3"/>
  </r>
  <r>
    <n v="264"/>
    <d v="2025-04-26T00:00:00"/>
    <d v="1899-12-30T19:20:00"/>
    <s v="Person/Merchant Payment"/>
    <x v="0"/>
    <n v="900"/>
    <s v="Person_49"/>
    <x v="3"/>
  </r>
  <r>
    <n v="265"/>
    <d v="2025-04-26T00:00:00"/>
    <d v="1899-12-30T19:33:00"/>
    <s v="Person/Merchant Payment"/>
    <x v="0"/>
    <n v="60"/>
    <s v="Person_39"/>
    <x v="3"/>
  </r>
  <r>
    <n v="266"/>
    <d v="2025-04-26T00:00:00"/>
    <d v="1899-12-30T20:14:00"/>
    <s v="Person/Merchant Payment"/>
    <x v="0"/>
    <n v="2000"/>
    <s v="Person_63"/>
    <x v="3"/>
  </r>
  <r>
    <n v="267"/>
    <d v="2025-04-26T00:00:00"/>
    <d v="1899-12-30T22:30:00"/>
    <s v="Person/Merchant Payment"/>
    <x v="0"/>
    <n v="50"/>
    <s v="Person_10"/>
    <x v="3"/>
  </r>
  <r>
    <n v="268"/>
    <d v="2025-04-27T00:00:00"/>
    <d v="1899-12-30T13:56:00"/>
    <s v="Person/Merchant Payment"/>
    <x v="0"/>
    <n v="2850"/>
    <s v="Person_45"/>
    <x v="3"/>
  </r>
  <r>
    <n v="269"/>
    <d v="2025-04-27T00:00:00"/>
    <d v="1899-12-30T20:35:00"/>
    <s v="Money Received"/>
    <x v="1"/>
    <n v="2500"/>
    <s v="Person_66"/>
    <x v="3"/>
  </r>
  <r>
    <n v="270"/>
    <d v="2025-04-27T00:00:00"/>
    <d v="1899-12-30T20:40:00"/>
    <s v="Person/Merchant Payment"/>
    <x v="0"/>
    <n v="2000"/>
    <s v="Person_67"/>
    <x v="3"/>
  </r>
  <r>
    <n v="271"/>
    <d v="2025-04-28T00:00:00"/>
    <d v="1899-12-30T11:26:00"/>
    <s v="Money Received"/>
    <x v="1"/>
    <n v="1000"/>
    <s v="Person_68"/>
    <x v="3"/>
  </r>
  <r>
    <n v="272"/>
    <d v="2025-04-28T00:00:00"/>
    <d v="1899-12-30T11:26:00"/>
    <s v="Person/Merchant Payment"/>
    <x v="0"/>
    <n v="1000"/>
    <s v="Person_11"/>
    <x v="3"/>
  </r>
  <r>
    <n v="273"/>
    <d v="2025-04-28T00:00:00"/>
    <d v="1899-12-30T16:08:00"/>
    <s v="Money Received"/>
    <x v="1"/>
    <n v="20000"/>
    <s v="Person_12"/>
    <x v="3"/>
  </r>
  <r>
    <n v="274"/>
    <d v="2025-04-28T00:00:00"/>
    <d v="1899-12-30T16:09:00"/>
    <s v="Money Received"/>
    <x v="1"/>
    <n v="5000"/>
    <s v="Person_12"/>
    <x v="3"/>
  </r>
  <r>
    <n v="275"/>
    <d v="2025-04-28T00:00:00"/>
    <d v="1899-12-30T16:16:00"/>
    <s v="Person/Merchant Payment"/>
    <x v="0"/>
    <n v="25000"/>
    <s v="Person_7"/>
    <x v="3"/>
  </r>
  <r>
    <n v="276"/>
    <d v="2025-04-28T00:00:00"/>
    <d v="1899-12-30T19:31:00"/>
    <s v="Person/Merchant Payment"/>
    <x v="0"/>
    <n v="2000"/>
    <s v="Person_45"/>
    <x v="3"/>
  </r>
  <r>
    <n v="277"/>
    <d v="2025-04-29T00:00:00"/>
    <d v="1899-12-30T10:09:00"/>
    <s v="Money Received"/>
    <x v="1"/>
    <n v="7000"/>
    <s v="Person_12"/>
    <x v="3"/>
  </r>
  <r>
    <n v="278"/>
    <d v="2025-04-29T00:00:00"/>
    <d v="1899-12-30T10:11:00"/>
    <s v="Person/Merchant Payment"/>
    <x v="0"/>
    <n v="351"/>
    <s v="Person_7"/>
    <x v="3"/>
  </r>
  <r>
    <n v="279"/>
    <d v="2025-04-29T00:00:00"/>
    <d v="1899-12-30T10:11:00"/>
    <s v="Person/Merchant Payment"/>
    <x v="0"/>
    <n v="7000"/>
    <s v="Person_7"/>
    <x v="3"/>
  </r>
  <r>
    <n v="280"/>
    <d v="2025-04-29T00:00:00"/>
    <d v="1899-12-30T10:11:00"/>
    <s v="Money Received"/>
    <x v="1"/>
    <n v="351"/>
    <s v="Person_12"/>
    <x v="3"/>
  </r>
  <r>
    <n v="281"/>
    <d v="2025-04-30T00:00:00"/>
    <d v="1899-12-30T08:03:00"/>
    <s v="Person/Merchant Payment"/>
    <x v="0"/>
    <n v="1000"/>
    <s v="Person_69"/>
    <x v="3"/>
  </r>
  <r>
    <n v="282"/>
    <d v="2025-04-30T00:00:00"/>
    <d v="1899-12-30T08:07:00"/>
    <s v="Person/Merchant Payment"/>
    <x v="0"/>
    <n v="1000"/>
    <s v="Person_28"/>
    <x v="3"/>
  </r>
  <r>
    <n v="283"/>
    <d v="2025-04-30T00:00:00"/>
    <d v="1899-12-30T08:10:00"/>
    <s v="Money Received"/>
    <x v="1"/>
    <n v="1000"/>
    <s v="Person_70"/>
    <x v="3"/>
  </r>
  <r>
    <n v="284"/>
    <d v="2025-04-30T00:00:00"/>
    <d v="1899-12-30T17:12:00"/>
    <s v="Person/Merchant Payment"/>
    <x v="0"/>
    <n v="1000"/>
    <s v="Person_7"/>
    <x v="3"/>
  </r>
  <r>
    <n v="285"/>
    <d v="2025-04-30T00:00:00"/>
    <d v="1899-12-30T17:14:00"/>
    <s v="Person/Merchant Payment"/>
    <x v="0"/>
    <n v="500"/>
    <s v="Person_28"/>
    <x v="3"/>
  </r>
  <r>
    <n v="286"/>
    <d v="2025-04-30T00:00:00"/>
    <d v="1899-12-30T17:29:00"/>
    <s v="Money Received"/>
    <x v="1"/>
    <n v="65"/>
    <s v="Person_15"/>
    <x v="3"/>
  </r>
  <r>
    <n v="287"/>
    <d v="2025-04-30T00:00:00"/>
    <d v="1899-12-30T17:29:00"/>
    <s v="Money Received"/>
    <x v="1"/>
    <n v="65"/>
    <s v="Person_1"/>
    <x v="3"/>
  </r>
  <r>
    <n v="288"/>
    <d v="2025-05-01T00:00:00"/>
    <d v="1899-12-30T10:00:00"/>
    <s v="Person/Merchant Payment"/>
    <x v="0"/>
    <n v="500"/>
    <s v="Person_71"/>
    <x v="4"/>
  </r>
  <r>
    <n v="289"/>
    <d v="2025-05-01T00:00:00"/>
    <d v="1899-12-30T17:25:00"/>
    <s v="Money Received"/>
    <x v="1"/>
    <n v="50"/>
    <s v="Person_15"/>
    <x v="4"/>
  </r>
  <r>
    <n v="290"/>
    <d v="2025-05-01T00:00:00"/>
    <d v="1899-12-30T17:26:00"/>
    <s v="Money Received"/>
    <x v="1"/>
    <n v="50"/>
    <s v="Person_17"/>
    <x v="4"/>
  </r>
  <r>
    <n v="291"/>
    <d v="2025-05-01T00:00:00"/>
    <d v="1899-12-30T17:26:00"/>
    <s v="Money Received"/>
    <x v="1"/>
    <n v="50"/>
    <s v="Person_1"/>
    <x v="4"/>
  </r>
  <r>
    <n v="292"/>
    <d v="2025-05-01T00:00:00"/>
    <d v="1899-12-30T18:21:00"/>
    <s v="Money Received"/>
    <x v="1"/>
    <n v="89"/>
    <s v="Person_11"/>
    <x v="4"/>
  </r>
  <r>
    <n v="293"/>
    <d v="2025-05-01T00:00:00"/>
    <d v="1899-12-30T18:29:00"/>
    <s v="Person/Merchant Payment"/>
    <x v="0"/>
    <n v="340"/>
    <s v="Person_49"/>
    <x v="4"/>
  </r>
  <r>
    <n v="294"/>
    <d v="2025-05-01T00:00:00"/>
    <d v="1899-12-30T18:59:00"/>
    <s v="Person/Merchant Payment"/>
    <x v="0"/>
    <n v="10"/>
    <s v="Person_72"/>
    <x v="4"/>
  </r>
  <r>
    <n v="295"/>
    <d v="2025-05-02T00:00:00"/>
    <d v="1899-12-30T08:57:00"/>
    <s v="Money Received"/>
    <x v="1"/>
    <n v="2000"/>
    <s v="Person_37"/>
    <x v="4"/>
  </r>
  <r>
    <n v="296"/>
    <d v="2025-05-02T00:00:00"/>
    <d v="1899-12-30T09:01:00"/>
    <s v="UPI Lite Top-up"/>
    <x v="0"/>
    <n v="1000"/>
    <s v="Person_4"/>
    <x v="4"/>
  </r>
  <r>
    <n v="297"/>
    <d v="2025-05-02T00:00:00"/>
    <d v="1899-12-30T18:17:00"/>
    <s v="Person/Merchant Payment"/>
    <x v="0"/>
    <n v="6"/>
    <s v="Person_8"/>
    <x v="4"/>
  </r>
  <r>
    <n v="298"/>
    <d v="2025-05-02T00:00:00"/>
    <d v="1899-12-30T22:29:00"/>
    <s v="Person/Merchant Payment"/>
    <x v="0"/>
    <n v="1000"/>
    <s v="Person_11"/>
    <x v="4"/>
  </r>
  <r>
    <n v="299"/>
    <d v="2025-05-02T00:00:00"/>
    <d v="1899-12-30T22:36:00"/>
    <s v="Money Received"/>
    <x v="1"/>
    <n v="500"/>
    <s v="Person_37"/>
    <x v="4"/>
  </r>
  <r>
    <n v="300"/>
    <d v="2025-05-02T00:00:00"/>
    <d v="1899-12-30T23:47:00"/>
    <s v="Money Received"/>
    <x v="1"/>
    <n v="500"/>
    <s v="Person_71"/>
    <x v="4"/>
  </r>
  <r>
    <n v="301"/>
    <d v="2025-05-03T00:00:00"/>
    <d v="1899-12-30T18:19:00"/>
    <s v="Money Received"/>
    <x v="1"/>
    <n v="500"/>
    <s v="Person_37"/>
    <x v="4"/>
  </r>
  <r>
    <n v="302"/>
    <d v="2025-05-03T00:00:00"/>
    <d v="1899-12-30T19:05:00"/>
    <s v="UPI Lite Top-up"/>
    <x v="0"/>
    <n v="1000"/>
    <s v="Person_4"/>
    <x v="4"/>
  </r>
  <r>
    <n v="303"/>
    <d v="2025-05-03T00:00:00"/>
    <d v="1899-12-30T19:06:00"/>
    <s v="Person/Merchant Payment"/>
    <x v="0"/>
    <n v="500"/>
    <s v="Person_7"/>
    <x v="4"/>
  </r>
  <r>
    <n v="304"/>
    <d v="2025-05-03T00:00:00"/>
    <d v="1899-12-30T19:06:00"/>
    <s v="UPI Lite Top-up"/>
    <x v="0"/>
    <n v="500"/>
    <s v="Person_4"/>
    <x v="4"/>
  </r>
  <r>
    <n v="305"/>
    <d v="2025-05-03T00:00:00"/>
    <d v="1899-12-30T21:25:00"/>
    <s v="Person/Merchant Payment"/>
    <x v="0"/>
    <n v="500"/>
    <s v="Person_73"/>
    <x v="4"/>
  </r>
  <r>
    <n v="306"/>
    <d v="2025-05-04T00:00:00"/>
    <d v="1899-12-30T20:46:00"/>
    <s v="Person/Merchant Payment"/>
    <x v="0"/>
    <n v="6000"/>
    <s v="Person_45"/>
    <x v="4"/>
  </r>
  <r>
    <n v="307"/>
    <d v="2025-05-05T00:00:00"/>
    <d v="1899-12-30T12:18:00"/>
    <s v="Person/Merchant Payment"/>
    <x v="0"/>
    <n v="1000"/>
    <s v="Person_58"/>
    <x v="4"/>
  </r>
  <r>
    <n v="308"/>
    <d v="2025-05-05T00:00:00"/>
    <d v="1899-12-30T15:45:00"/>
    <s v="Person/Merchant Payment"/>
    <x v="0"/>
    <n v="50"/>
    <s v="Person_33"/>
    <x v="4"/>
  </r>
  <r>
    <n v="309"/>
    <d v="2025-05-05T00:00:00"/>
    <d v="1899-12-30T19:43:00"/>
    <s v="Person/Merchant Payment"/>
    <x v="0"/>
    <n v="100"/>
    <s v="Person_74"/>
    <x v="4"/>
  </r>
  <r>
    <n v="310"/>
    <d v="2025-05-06T00:00:00"/>
    <d v="1899-12-30T19:28:00"/>
    <s v="Person/Merchant Payment"/>
    <x v="0"/>
    <n v="4000"/>
    <s v="Person_74"/>
    <x v="4"/>
  </r>
  <r>
    <n v="311"/>
    <d v="2025-05-06T00:00:00"/>
    <d v="1899-12-30T20:57:00"/>
    <s v="Person/Merchant Payment"/>
    <x v="0"/>
    <n v="1000"/>
    <s v="Person_28"/>
    <x v="4"/>
  </r>
  <r>
    <n v="312"/>
    <d v="2025-05-06T00:00:00"/>
    <d v="1899-12-30T21:03:00"/>
    <s v="Person/Merchant Payment"/>
    <x v="0"/>
    <n v="1000"/>
    <s v="Person_7"/>
    <x v="4"/>
  </r>
  <r>
    <n v="313"/>
    <d v="2025-05-06T00:00:00"/>
    <d v="1899-12-30T21:55:00"/>
    <s v="UPI Lite Top-up"/>
    <x v="0"/>
    <n v="1000"/>
    <s v="Person_4"/>
    <x v="4"/>
  </r>
  <r>
    <n v="314"/>
    <d v="2025-05-06T00:00:00"/>
    <d v="1899-12-30T21:57:00"/>
    <s v="Person/Merchant Payment"/>
    <x v="0"/>
    <n v="200"/>
    <s v="Person_6"/>
    <x v="4"/>
  </r>
  <r>
    <n v="315"/>
    <d v="2025-05-06T00:00:00"/>
    <d v="1899-12-30T23:27:00"/>
    <s v="Money Received"/>
    <x v="1"/>
    <n v="500"/>
    <s v="Person_37"/>
    <x v="4"/>
  </r>
  <r>
    <n v="316"/>
    <d v="2025-05-06T00:00:00"/>
    <d v="1899-12-30T23:29:00"/>
    <s v="Person/Merchant Payment"/>
    <x v="0"/>
    <n v="500"/>
    <s v="Person_45"/>
    <x v="4"/>
  </r>
  <r>
    <n v="317"/>
    <d v="2025-05-07T00:00:00"/>
    <d v="1899-12-30T11:14:00"/>
    <s v="Person/Merchant Payment"/>
    <x v="0"/>
    <n v="1000"/>
    <s v="Person_28"/>
    <x v="4"/>
  </r>
  <r>
    <n v="318"/>
    <d v="2025-05-07T00:00:00"/>
    <d v="1899-12-30T11:20:00"/>
    <s v="Money Received"/>
    <x v="1"/>
    <n v="1000"/>
    <s v="Person_71"/>
    <x v="4"/>
  </r>
  <r>
    <n v="319"/>
    <d v="2025-05-07T00:00:00"/>
    <d v="1899-12-30T14:20:00"/>
    <s v="UPI Lite Top-up"/>
    <x v="0"/>
    <n v="1000"/>
    <s v="Person_4"/>
    <x v="4"/>
  </r>
  <r>
    <n v="320"/>
    <d v="2025-05-08T00:00:00"/>
    <d v="1899-12-30T14:13:00"/>
    <s v="Person/Merchant Payment"/>
    <x v="0"/>
    <n v="3500"/>
    <s v="Person_71"/>
    <x v="4"/>
  </r>
  <r>
    <n v="321"/>
    <d v="2025-05-08T00:00:00"/>
    <d v="1899-12-30T21:03:00"/>
    <s v="Person/Merchant Payment"/>
    <x v="0"/>
    <n v="500"/>
    <s v="Person_75"/>
    <x v="4"/>
  </r>
  <r>
    <n v="322"/>
    <d v="2025-05-08T00:00:00"/>
    <d v="1899-12-30T21:26:00"/>
    <s v="Money Received"/>
    <x v="1"/>
    <n v="3500"/>
    <s v="Person_71"/>
    <x v="4"/>
  </r>
  <r>
    <n v="323"/>
    <d v="2025-05-08T00:00:00"/>
    <d v="1899-12-30T22:03:00"/>
    <s v="Money Received"/>
    <x v="1"/>
    <n v="500"/>
    <s v="Person_28"/>
    <x v="4"/>
  </r>
  <r>
    <n v="324"/>
    <d v="2025-05-09T00:00:00"/>
    <d v="1899-12-30T09:35:00"/>
    <s v="Person/Merchant Payment"/>
    <x v="0"/>
    <n v="3500"/>
    <s v="Person_7"/>
    <x v="4"/>
  </r>
  <r>
    <n v="325"/>
    <d v="2025-05-09T00:00:00"/>
    <d v="1899-12-30T09:36:00"/>
    <s v="Person/Merchant Payment"/>
    <x v="0"/>
    <n v="26"/>
    <s v="Person_15"/>
    <x v="4"/>
  </r>
  <r>
    <n v="326"/>
    <d v="2025-05-09T00:00:00"/>
    <d v="1899-12-30T13:42:00"/>
    <s v="Person/Merchant Payment"/>
    <x v="0"/>
    <n v="30"/>
    <s v="Person_72"/>
    <x v="4"/>
  </r>
  <r>
    <n v="327"/>
    <d v="2025-05-09T00:00:00"/>
    <d v="1899-12-30T15:45:00"/>
    <s v="Person/Merchant Payment"/>
    <x v="0"/>
    <n v="149"/>
    <s v="Person_45"/>
    <x v="4"/>
  </r>
  <r>
    <n v="328"/>
    <d v="2025-05-12T00:00:00"/>
    <d v="1899-12-30T10:46:00"/>
    <s v="Money Received"/>
    <x v="1"/>
    <n v="1000"/>
    <s v="Person_2"/>
    <x v="4"/>
  </r>
  <r>
    <n v="329"/>
    <d v="2025-05-12T00:00:00"/>
    <d v="1899-12-30T12:36:00"/>
    <s v="Person/Merchant Payment"/>
    <x v="0"/>
    <n v="80"/>
    <s v="Person_15"/>
    <x v="4"/>
  </r>
  <r>
    <n v="330"/>
    <d v="2025-05-12T00:00:00"/>
    <d v="1899-12-30T12:36:00"/>
    <s v="UPI Lite Top-up"/>
    <x v="0"/>
    <n v="1000"/>
    <s v="Person_4"/>
    <x v="4"/>
  </r>
  <r>
    <n v="331"/>
    <d v="2025-05-12T00:00:00"/>
    <d v="1899-12-30T20:47:00"/>
    <s v="Person/Merchant Payment"/>
    <x v="0"/>
    <n v="1000"/>
    <s v="Person_71"/>
    <x v="4"/>
  </r>
  <r>
    <n v="332"/>
    <d v="2025-05-13T00:00:00"/>
    <d v="1899-12-30T12:04:00"/>
    <s v="Person/Merchant Payment"/>
    <x v="0"/>
    <n v="699"/>
    <s v="Person_76"/>
    <x v="4"/>
  </r>
  <r>
    <n v="333"/>
    <d v="2025-05-14T00:00:00"/>
    <d v="1899-12-30T13:20:00"/>
    <s v="Money Received"/>
    <x v="1"/>
    <n v="1000"/>
    <s v="Person_71"/>
    <x v="4"/>
  </r>
  <r>
    <n v="334"/>
    <d v="2025-05-15T00:00:00"/>
    <d v="1899-12-30T10:00:00"/>
    <s v="Person/Merchant Payment"/>
    <x v="0"/>
    <n v="500"/>
    <s v="Person_58"/>
    <x v="4"/>
  </r>
  <r>
    <n v="335"/>
    <d v="2025-05-15T00:00:00"/>
    <d v="1899-12-30T10:25:00"/>
    <s v="Person/Merchant Payment"/>
    <x v="0"/>
    <n v="500"/>
    <s v="Person_58"/>
    <x v="4"/>
  </r>
  <r>
    <n v="336"/>
    <d v="2025-05-15T00:00:00"/>
    <d v="1899-12-30T10:47:00"/>
    <s v="Money Received"/>
    <x v="1"/>
    <n v="50"/>
    <s v="Person_37"/>
    <x v="4"/>
  </r>
  <r>
    <n v="337"/>
    <d v="2025-05-15T00:00:00"/>
    <d v="1899-12-30T10:55:00"/>
    <s v="Person/Merchant Payment"/>
    <x v="0"/>
    <n v="10"/>
    <s v="Person_8"/>
    <x v="4"/>
  </r>
  <r>
    <n v="338"/>
    <d v="2025-05-15T00:00:00"/>
    <d v="1899-12-30T13:11:00"/>
    <s v="Person/Merchant Payment"/>
    <x v="0"/>
    <n v="25"/>
    <s v="Person_72"/>
    <x v="4"/>
  </r>
  <r>
    <n v="339"/>
    <d v="2025-05-15T00:00:00"/>
    <d v="1899-12-30T13:47:00"/>
    <s v="Person/Merchant Payment"/>
    <x v="0"/>
    <n v="1000"/>
    <s v="Person_77"/>
    <x v="4"/>
  </r>
  <r>
    <n v="340"/>
    <d v="2025-05-15T00:00:00"/>
    <d v="1899-12-30T19:05:00"/>
    <s v="Money Received"/>
    <x v="1"/>
    <n v="1000"/>
    <s v="Person_3"/>
    <x v="4"/>
  </r>
  <r>
    <n v="341"/>
    <d v="2025-05-15T00:00:00"/>
    <d v="1899-12-30T19:08:00"/>
    <s v="Person/Merchant Payment"/>
    <x v="0"/>
    <n v="10"/>
    <s v="Person_3"/>
    <x v="4"/>
  </r>
  <r>
    <n v="342"/>
    <d v="2025-05-15T00:00:00"/>
    <d v="1899-12-30T19:10:00"/>
    <s v="Money Received"/>
    <x v="1"/>
    <n v="10"/>
    <s v="Person_3"/>
    <x v="4"/>
  </r>
  <r>
    <n v="343"/>
    <d v="2025-05-15T00:00:00"/>
    <d v="1899-12-30T19:58:00"/>
    <s v="Money Received"/>
    <x v="1"/>
    <n v="5"/>
    <s v="Person_45"/>
    <x v="4"/>
  </r>
  <r>
    <n v="344"/>
    <d v="2025-05-15T00:00:00"/>
    <d v="1899-12-30T21:04:00"/>
    <s v="Person/Merchant Payment"/>
    <x v="0"/>
    <n v="2000"/>
    <s v="Person_78"/>
    <x v="4"/>
  </r>
  <r>
    <n v="345"/>
    <d v="2025-05-15T00:00:00"/>
    <d v="1899-12-30T21:05:00"/>
    <s v="UPI Lite Top-up"/>
    <x v="0"/>
    <n v="1000"/>
    <s v="Person_4"/>
    <x v="4"/>
  </r>
  <r>
    <n v="346"/>
    <d v="2025-05-16T00:00:00"/>
    <d v="1899-12-30T08:44:00"/>
    <s v="Money Received"/>
    <x v="1"/>
    <n v="35"/>
    <s v="Person_1"/>
    <x v="4"/>
  </r>
  <r>
    <n v="347"/>
    <d v="2025-05-16T00:00:00"/>
    <d v="1899-12-30T19:02:00"/>
    <s v="Money Received"/>
    <x v="1"/>
    <n v="49500"/>
    <s v="Person_12"/>
    <x v="4"/>
  </r>
  <r>
    <n v="348"/>
    <d v="2025-05-16T00:00:00"/>
    <d v="1899-12-30T19:18:00"/>
    <s v="UPI Lite Top-up"/>
    <x v="0"/>
    <n v="300"/>
    <s v="Person_4"/>
    <x v="4"/>
  </r>
  <r>
    <n v="349"/>
    <d v="2025-05-16T00:00:00"/>
    <d v="1899-12-30T19:44:00"/>
    <s v="UPI Lite Top-up"/>
    <x v="0"/>
    <n v="100"/>
    <s v="Person_4"/>
    <x v="4"/>
  </r>
  <r>
    <n v="350"/>
    <d v="2025-05-16T00:00:00"/>
    <d v="1899-12-30T19:46:00"/>
    <s v="Money Received"/>
    <x v="1"/>
    <n v="10"/>
    <s v="Person_15"/>
    <x v="4"/>
  </r>
  <r>
    <n v="351"/>
    <d v="2025-05-16T00:00:00"/>
    <d v="1899-12-30T19:46:00"/>
    <s v="Person/Merchant Payment"/>
    <x v="0"/>
    <n v="10"/>
    <s v="Person_15"/>
    <x v="4"/>
  </r>
  <r>
    <n v="352"/>
    <d v="2025-05-17T00:00:00"/>
    <d v="1899-12-30T13:02:00"/>
    <s v="Education/Fees"/>
    <x v="0"/>
    <n v="1680"/>
    <s v="Person_5"/>
    <x v="4"/>
  </r>
  <r>
    <n v="353"/>
    <d v="2025-05-17T00:00:00"/>
    <d v="1899-12-30T13:09:00"/>
    <s v="Person/Merchant Payment"/>
    <x v="0"/>
    <n v="30"/>
    <s v="Person_8"/>
    <x v="4"/>
  </r>
  <r>
    <n v="354"/>
    <d v="2025-05-17T00:00:00"/>
    <d v="1899-12-30T14:39:00"/>
    <s v="Money Received"/>
    <x v="1"/>
    <n v="50500"/>
    <s v="Person_12"/>
    <x v="4"/>
  </r>
  <r>
    <n v="355"/>
    <d v="2025-05-17T00:00:00"/>
    <d v="1899-12-30T14:53:00"/>
    <s v="UPI Lite Top-up"/>
    <x v="0"/>
    <n v="1000"/>
    <s v="Person_4"/>
    <x v="4"/>
  </r>
  <r>
    <n v="356"/>
    <d v="2025-05-17T00:00:00"/>
    <d v="1899-12-30T14:54:00"/>
    <s v="Person/Merchant Payment"/>
    <x v="0"/>
    <n v="1680"/>
    <s v="Person_7"/>
    <x v="4"/>
  </r>
  <r>
    <n v="357"/>
    <d v="2025-05-17T00:00:00"/>
    <d v="1899-12-30T14:58:00"/>
    <s v="Person/Merchant Payment"/>
    <x v="0"/>
    <n v="10000"/>
    <s v="Person_7"/>
    <x v="4"/>
  </r>
  <r>
    <n v="358"/>
    <d v="2025-05-17T00:00:00"/>
    <d v="1899-12-30T15:28:00"/>
    <s v="Person/Merchant Payment"/>
    <x v="0"/>
    <n v="2600"/>
    <s v="Person_11"/>
    <x v="4"/>
  </r>
  <r>
    <n v="359"/>
    <d v="2025-05-17T00:00:00"/>
    <d v="1899-12-30T20:06:00"/>
    <s v="Money Received"/>
    <x v="1"/>
    <n v="20"/>
    <s v="Person_17"/>
    <x v="4"/>
  </r>
  <r>
    <n v="360"/>
    <d v="2025-05-17T00:00:00"/>
    <d v="1899-12-30T20:25:00"/>
    <s v="UPI Lite Top-up"/>
    <x v="0"/>
    <n v="20"/>
    <s v="Person_4"/>
    <x v="4"/>
  </r>
  <r>
    <n v="361"/>
    <d v="2025-05-19T00:00:00"/>
    <d v="1899-12-30T07:53:00"/>
    <s v="Person/Merchant Payment"/>
    <x v="0"/>
    <n v="200"/>
    <s v="Person_58"/>
    <x v="4"/>
  </r>
  <r>
    <n v="362"/>
    <d v="2025-05-19T00:00:00"/>
    <d v="1899-12-30T09:52:00"/>
    <s v="Person/Merchant Payment"/>
    <x v="0"/>
    <n v="40"/>
    <s v="Person_8"/>
    <x v="4"/>
  </r>
  <r>
    <n v="363"/>
    <d v="2025-05-19T00:00:00"/>
    <d v="1899-12-30T13:52:00"/>
    <s v="Money Received"/>
    <x v="1"/>
    <n v="300"/>
    <s v="Person_12"/>
    <x v="4"/>
  </r>
  <r>
    <n v="364"/>
    <d v="2025-05-19T00:00:00"/>
    <d v="1899-12-30T15:20:00"/>
    <s v="Person/Merchant Payment"/>
    <x v="0"/>
    <n v="3800"/>
    <s v="Person_45"/>
    <x v="4"/>
  </r>
  <r>
    <n v="365"/>
    <d v="2025-05-19T00:00:00"/>
    <d v="1899-12-30T19:22:00"/>
    <s v="Person/Merchant Payment"/>
    <x v="0"/>
    <n v="2000"/>
    <s v="Person_79"/>
    <x v="4"/>
  </r>
  <r>
    <n v="366"/>
    <d v="2025-05-20T00:00:00"/>
    <d v="1899-12-30T12:51:00"/>
    <s v="Money Received"/>
    <x v="1"/>
    <n v="200"/>
    <s v="Person_2"/>
    <x v="4"/>
  </r>
  <r>
    <n v="367"/>
    <d v="2025-05-20T00:00:00"/>
    <d v="1899-12-30T12:57:00"/>
    <s v="Person/Merchant Payment"/>
    <x v="0"/>
    <n v="25"/>
    <s v="Person_2"/>
    <x v="4"/>
  </r>
  <r>
    <n v="368"/>
    <d v="2025-05-20T00:00:00"/>
    <d v="1899-12-30T18:15:00"/>
    <s v="Person/Merchant Payment"/>
    <x v="0"/>
    <n v="60"/>
    <s v="Person_10"/>
    <x v="4"/>
  </r>
  <r>
    <n v="369"/>
    <d v="2025-05-20T00:00:00"/>
    <d v="1899-12-30T19:45:00"/>
    <s v="Person/Merchant Payment"/>
    <x v="0"/>
    <n v="760"/>
    <s v="Person_80"/>
    <x v="4"/>
  </r>
  <r>
    <n v="370"/>
    <d v="2025-05-21T00:00:00"/>
    <d v="1899-12-30T15:16:00"/>
    <s v="Person/Merchant Payment"/>
    <x v="0"/>
    <n v="8240"/>
    <s v="Person_76"/>
    <x v="4"/>
  </r>
  <r>
    <n v="371"/>
    <d v="2025-05-21T00:00:00"/>
    <d v="1899-12-30T15:17:00"/>
    <s v="UPI Lite Top-up"/>
    <x v="0"/>
    <n v="385"/>
    <s v="Person_4"/>
    <x v="4"/>
  </r>
  <r>
    <n v="372"/>
    <d v="2025-05-21T00:00:00"/>
    <d v="1899-12-30T17:03:00"/>
    <s v="Person/Merchant Payment"/>
    <x v="0"/>
    <n v="20"/>
    <s v="Person_81"/>
    <x v="4"/>
  </r>
  <r>
    <n v="373"/>
    <d v="2025-05-21T00:00:00"/>
    <d v="1899-12-30T17:31:00"/>
    <s v="Person/Merchant Payment"/>
    <x v="0"/>
    <n v="200"/>
    <s v="Person_82"/>
    <x v="4"/>
  </r>
  <r>
    <n v="374"/>
    <d v="2025-05-22T00:00:00"/>
    <d v="1899-12-30T10:48:00"/>
    <s v="Person/Merchant Payment"/>
    <x v="0"/>
    <n v="1230"/>
    <s v="Person_83"/>
    <x v="4"/>
  </r>
  <r>
    <n v="375"/>
    <d v="2025-05-22T00:00:00"/>
    <d v="1899-12-30T14:47:00"/>
    <s v="Money Received"/>
    <x v="1"/>
    <n v="2500"/>
    <s v="Person_37"/>
    <x v="4"/>
  </r>
  <r>
    <n v="376"/>
    <d v="2025-05-22T00:00:00"/>
    <d v="1899-12-30T15:06:00"/>
    <s v="Person/Merchant Payment"/>
    <x v="0"/>
    <n v="2100"/>
    <s v="Person_12"/>
    <x v="4"/>
  </r>
  <r>
    <n v="377"/>
    <d v="2025-05-23T00:00:00"/>
    <d v="1899-12-30T13:54:00"/>
    <s v="Person/Merchant Payment"/>
    <x v="0"/>
    <n v="1000"/>
    <s v="Person_84"/>
    <x v="4"/>
  </r>
  <r>
    <n v="378"/>
    <d v="2025-05-24T00:00:00"/>
    <d v="1899-12-30T17:20:00"/>
    <s v="Money Received"/>
    <x v="1"/>
    <n v="8000"/>
    <s v="Person_1"/>
    <x v="4"/>
  </r>
  <r>
    <n v="379"/>
    <d v="2025-05-24T00:00:00"/>
    <d v="1899-12-30T17:21:00"/>
    <s v="Person/Merchant Payment"/>
    <x v="0"/>
    <n v="8000"/>
    <s v="Person_45"/>
    <x v="4"/>
  </r>
  <r>
    <n v="380"/>
    <d v="2025-05-25T00:00:00"/>
    <d v="1899-12-30T10:44:00"/>
    <s v="Money Received"/>
    <x v="1"/>
    <n v="2100"/>
    <s v="Person_59"/>
    <x v="4"/>
  </r>
  <r>
    <n v="381"/>
    <d v="2025-05-25T00:00:00"/>
    <d v="1899-12-30T13:02:00"/>
    <s v="Person/Merchant Payment"/>
    <x v="0"/>
    <n v="20"/>
    <s v="Person_85"/>
    <x v="4"/>
  </r>
  <r>
    <n v="382"/>
    <d v="2025-05-25T00:00:00"/>
    <d v="1899-12-30T13:05:00"/>
    <s v="Person/Merchant Payment"/>
    <x v="0"/>
    <n v="150"/>
    <s v="Person_86"/>
    <x v="4"/>
  </r>
  <r>
    <n v="383"/>
    <d v="2025-05-25T00:00:00"/>
    <d v="1899-12-30T16:37:00"/>
    <s v="Person/Merchant Payment"/>
    <x v="0"/>
    <n v="1500"/>
    <s v="Person_12"/>
    <x v="4"/>
  </r>
  <r>
    <n v="384"/>
    <d v="2025-05-25T00:00:00"/>
    <d v="1899-12-30T21:05:00"/>
    <s v="Money Received"/>
    <x v="1"/>
    <n v="1000"/>
    <s v="Person_84"/>
    <x v="4"/>
  </r>
  <r>
    <n v="385"/>
    <d v="2025-05-27T00:00:00"/>
    <d v="1899-12-30T16:27:00"/>
    <s v="Person/Merchant Payment"/>
    <x v="0"/>
    <n v="100"/>
    <s v="Person_87"/>
    <x v="4"/>
  </r>
  <r>
    <n v="386"/>
    <d v="2025-05-28T00:00:00"/>
    <d v="1899-12-30T11:35:00"/>
    <s v="Money Received"/>
    <x v="1"/>
    <n v="1000"/>
    <s v="Person_88"/>
    <x v="4"/>
  </r>
  <r>
    <n v="387"/>
    <d v="2025-05-28T00:00:00"/>
    <d v="1899-12-30T13:03:00"/>
    <s v="Money Received"/>
    <x v="1"/>
    <n v="500"/>
    <s v="Person_12"/>
    <x v="4"/>
  </r>
  <r>
    <n v="388"/>
    <d v="2025-05-28T00:00:00"/>
    <d v="1899-12-30T19:37:00"/>
    <s v="Money Received"/>
    <x v="1"/>
    <n v="40"/>
    <s v="Person_1"/>
    <x v="4"/>
  </r>
  <r>
    <n v="389"/>
    <d v="2025-05-28T00:00:00"/>
    <d v="1899-12-30T19:45:00"/>
    <s v="Money Received"/>
    <x v="1"/>
    <n v="50"/>
    <s v="Person_11"/>
    <x v="4"/>
  </r>
  <r>
    <n v="390"/>
    <d v="2025-05-29T00:00:00"/>
    <d v="1899-12-30T09:51:00"/>
    <s v="UPI Lite Top-up"/>
    <x v="0"/>
    <n v="1000"/>
    <s v="Person_4"/>
    <x v="4"/>
  </r>
  <r>
    <n v="391"/>
    <d v="2025-05-29T00:00:00"/>
    <d v="1899-12-30T12:07:00"/>
    <s v="Money Received"/>
    <x v="1"/>
    <n v="300"/>
    <s v="Person_37"/>
    <x v="4"/>
  </r>
  <r>
    <n v="392"/>
    <d v="2025-05-29T00:00:00"/>
    <d v="1899-12-30T12:17:00"/>
    <s v="UPI Lite Top-up"/>
    <x v="0"/>
    <n v="70"/>
    <s v="Person_4"/>
    <x v="4"/>
  </r>
  <r>
    <n v="393"/>
    <d v="2025-05-29T00:00:00"/>
    <d v="1899-12-30T22:42:00"/>
    <s v="Money Received"/>
    <x v="1"/>
    <n v="65"/>
    <s v="Person_10"/>
    <x v="4"/>
  </r>
  <r>
    <n v="394"/>
    <d v="2025-05-30T00:00:00"/>
    <d v="1899-12-30T14:40:00"/>
    <s v="Person/Merchant Payment"/>
    <x v="0"/>
    <n v="500"/>
    <s v="Person_2"/>
    <x v="4"/>
  </r>
  <r>
    <n v="395"/>
    <d v="2025-05-30T00:00:00"/>
    <d v="1899-12-30T14:50:00"/>
    <s v="Food &amp; Dining"/>
    <x v="0"/>
    <n v="105"/>
    <s v="Person_64"/>
    <x v="4"/>
  </r>
  <r>
    <n v="396"/>
    <d v="2025-05-30T00:00:00"/>
    <d v="1899-12-30T15:21:00"/>
    <s v="Person/Merchant Payment"/>
    <x v="0"/>
    <n v="60"/>
    <s v="Person_89"/>
    <x v="4"/>
  </r>
  <r>
    <n v="397"/>
    <d v="2025-05-30T00:00:00"/>
    <d v="1899-12-30T17:15:00"/>
    <s v="Money Received"/>
    <x v="1"/>
    <n v="55"/>
    <s v="Person_90"/>
    <x v="4"/>
  </r>
  <r>
    <n v="398"/>
    <d v="2025-05-31T00:00:00"/>
    <d v="1899-12-30T08:06:00"/>
    <s v="Person/Merchant Payment"/>
    <x v="0"/>
    <n v="250"/>
    <s v="Person_2"/>
    <x v="4"/>
  </r>
  <r>
    <n v="399"/>
    <d v="2025-05-31T00:00:00"/>
    <d v="1899-12-30T14:47:00"/>
    <s v="Person/Merchant Payment"/>
    <x v="0"/>
    <n v="4000"/>
    <s v="Person_37"/>
    <x v="4"/>
  </r>
  <r>
    <n v="400"/>
    <d v="2025-06-01T00:00:00"/>
    <d v="1899-12-30T10:24:00"/>
    <s v="Person/Merchant Payment"/>
    <x v="0"/>
    <n v="17000"/>
    <s v="Person_37"/>
    <x v="5"/>
  </r>
  <r>
    <n v="401"/>
    <d v="2025-06-01T00:00:00"/>
    <d v="1899-12-30T19:26:00"/>
    <s v="Person/Merchant Payment"/>
    <x v="0"/>
    <n v="2000"/>
    <s v="Person_79"/>
    <x v="5"/>
  </r>
  <r>
    <n v="402"/>
    <d v="2025-06-01T00:00:00"/>
    <d v="1899-12-30T19:27:00"/>
    <s v="Person/Merchant Payment"/>
    <x v="0"/>
    <n v="1500"/>
    <s v="Person_7"/>
    <x v="5"/>
  </r>
  <r>
    <n v="403"/>
    <d v="2025-06-02T00:00:00"/>
    <d v="1899-12-30T10:19:00"/>
    <s v="Person/Merchant Payment"/>
    <x v="0"/>
    <n v="3500"/>
    <s v="Person_37"/>
    <x v="5"/>
  </r>
  <r>
    <n v="404"/>
    <d v="2025-06-02T00:00:00"/>
    <d v="1899-12-30T13:34:00"/>
    <s v="Person/Merchant Payment"/>
    <x v="0"/>
    <n v="4300"/>
    <s v="Person_75"/>
    <x v="5"/>
  </r>
  <r>
    <n v="405"/>
    <d v="2025-06-02T00:00:00"/>
    <d v="1899-12-30T20:51:00"/>
    <s v="Money Received"/>
    <x v="1"/>
    <n v="15"/>
    <s v="Person_10"/>
    <x v="5"/>
  </r>
  <r>
    <n v="406"/>
    <d v="2025-06-03T00:00:00"/>
    <d v="1899-12-30T00:56:00"/>
    <s v="Money Received"/>
    <x v="1"/>
    <n v="4300"/>
    <s v="Person_71"/>
    <x v="5"/>
  </r>
  <r>
    <n v="407"/>
    <d v="2025-06-03T00:00:00"/>
    <d v="1899-12-30T11:42:00"/>
    <s v="Person/Merchant Payment"/>
    <x v="0"/>
    <n v="5000"/>
    <s v="Person_91"/>
    <x v="5"/>
  </r>
  <r>
    <n v="408"/>
    <d v="2025-06-03T00:00:00"/>
    <d v="1899-12-30T18:11:00"/>
    <s v="Person/Merchant Payment"/>
    <x v="0"/>
    <n v="6000"/>
    <s v="Person_37"/>
    <x v="5"/>
  </r>
  <r>
    <n v="409"/>
    <d v="2025-06-03T00:00:00"/>
    <d v="1899-12-30T21:33:00"/>
    <s v="Money Received"/>
    <x v="1"/>
    <n v="5000"/>
    <s v="Person_37"/>
    <x v="5"/>
  </r>
  <r>
    <n v="410"/>
    <d v="2025-06-03T00:00:00"/>
    <d v="1899-12-30T21:35:00"/>
    <s v="Person/Merchant Payment"/>
    <x v="0"/>
    <n v="5000"/>
    <s v="Person_79"/>
    <x v="5"/>
  </r>
  <r>
    <n v="411"/>
    <d v="2025-06-04T00:00:00"/>
    <d v="1899-12-30T10:30:00"/>
    <s v="Person/Merchant Payment"/>
    <x v="0"/>
    <n v="331"/>
    <s v="Person_7"/>
    <x v="5"/>
  </r>
  <r>
    <n v="412"/>
    <d v="2025-06-04T00:00:00"/>
    <d v="1899-12-30T10:30:00"/>
    <s v="Person/Merchant Payment"/>
    <x v="0"/>
    <n v="1000"/>
    <s v="Person_7"/>
    <x v="5"/>
  </r>
  <r>
    <n v="413"/>
    <d v="2025-06-04T00:00:00"/>
    <d v="1899-12-30T10:30:00"/>
    <s v="Person/Merchant Payment"/>
    <x v="0"/>
    <n v="1000"/>
    <s v="Person_7"/>
    <x v="5"/>
  </r>
  <r>
    <n v="414"/>
    <d v="2025-06-04T00:00:00"/>
    <d v="1899-12-30T10:44:00"/>
    <s v="Person/Merchant Payment"/>
    <x v="0"/>
    <n v="2331"/>
    <s v="Person_6"/>
    <x v="5"/>
  </r>
  <r>
    <n v="415"/>
    <d v="2025-06-04T00:00:00"/>
    <d v="1899-12-30T10:44:00"/>
    <s v="UPI Lite Top-up"/>
    <x v="0"/>
    <n v="2331"/>
    <s v="Person_4"/>
    <x v="5"/>
  </r>
  <r>
    <n v="416"/>
    <d v="2025-06-04T00:00:00"/>
    <d v="1899-12-30T12:46:00"/>
    <s v="Money Received"/>
    <x v="1"/>
    <n v="5000"/>
    <s v="Person_57"/>
    <x v="5"/>
  </r>
  <r>
    <n v="417"/>
    <d v="2025-06-04T00:00:00"/>
    <d v="1899-12-30T13:39:00"/>
    <s v="Person/Merchant Payment"/>
    <x v="0"/>
    <n v="3000"/>
    <s v="Person_24"/>
    <x v="5"/>
  </r>
  <r>
    <n v="418"/>
    <d v="2025-06-04T00:00:00"/>
    <d v="1899-12-30T18:17:00"/>
    <s v="Person/Merchant Payment"/>
    <x v="0"/>
    <n v="10000"/>
    <s v="Person_37"/>
    <x v="5"/>
  </r>
  <r>
    <n v="419"/>
    <d v="2025-06-04T00:00:00"/>
    <d v="1899-12-30T18:50:00"/>
    <s v="Person/Merchant Payment"/>
    <x v="0"/>
    <n v="2500"/>
    <s v="Person_92"/>
    <x v="5"/>
  </r>
  <r>
    <n v="420"/>
    <d v="2025-06-05T00:00:00"/>
    <d v="1899-12-30T09:22:00"/>
    <s v="Person/Merchant Payment"/>
    <x v="0"/>
    <n v="1"/>
    <s v="Person_12"/>
    <x v="5"/>
  </r>
  <r>
    <n v="421"/>
    <d v="2025-06-05T00:00:00"/>
    <d v="1899-12-30T19:43:00"/>
    <s v="Money Received"/>
    <x v="1"/>
    <n v="4000"/>
    <s v="Person_37"/>
    <x v="5"/>
  </r>
  <r>
    <n v="422"/>
    <d v="2025-06-06T00:00:00"/>
    <d v="1899-12-30T11:29:00"/>
    <s v="Money Received"/>
    <x v="1"/>
    <n v="1500"/>
    <s v="Person_92"/>
    <x v="5"/>
  </r>
  <r>
    <n v="423"/>
    <d v="2025-06-06T00:00:00"/>
    <d v="1899-12-30T11:31:00"/>
    <s v="Person/Merchant Payment"/>
    <x v="0"/>
    <n v="1500"/>
    <s v="Person_7"/>
    <x v="5"/>
  </r>
  <r>
    <n v="424"/>
    <d v="2025-06-06T00:00:00"/>
    <d v="1899-12-30T12:58:00"/>
    <s v="Money Received"/>
    <x v="1"/>
    <n v="100"/>
    <s v="Person_11"/>
    <x v="5"/>
  </r>
  <r>
    <n v="425"/>
    <d v="2025-06-06T00:00:00"/>
    <d v="1899-12-30T20:32:00"/>
    <s v="Person/Merchant Payment"/>
    <x v="0"/>
    <n v="2000"/>
    <s v="Person_91"/>
    <x v="5"/>
  </r>
  <r>
    <n v="426"/>
    <d v="2025-06-06T00:00:00"/>
    <d v="1899-12-30T20:35:00"/>
    <s v="UPI Lite Top-up"/>
    <x v="0"/>
    <n v="100"/>
    <s v="Person_4"/>
    <x v="5"/>
  </r>
  <r>
    <n v="427"/>
    <d v="2025-06-06T00:00:00"/>
    <d v="1899-12-30T20:39:00"/>
    <s v="Person/Merchant Payment"/>
    <x v="0"/>
    <n v="2673"/>
    <s v="Person_67"/>
    <x v="5"/>
  </r>
  <r>
    <n v="428"/>
    <d v="2025-06-07T00:00:00"/>
    <d v="1899-12-30T14:30:00"/>
    <s v="Money Received"/>
    <x v="1"/>
    <n v="1000"/>
    <s v="Person_92"/>
    <x v="5"/>
  </r>
  <r>
    <n v="429"/>
    <d v="2025-06-07T00:00:00"/>
    <d v="1899-12-30T14:30:00"/>
    <s v="Person/Merchant Payment"/>
    <x v="0"/>
    <n v="1000"/>
    <s v="Person_7"/>
    <x v="5"/>
  </r>
  <r>
    <n v="430"/>
    <d v="2025-06-07T00:00:00"/>
    <d v="1899-12-30T16:56:00"/>
    <s v="Food &amp; Dining"/>
    <x v="0"/>
    <n v="740"/>
    <s v="Person_93"/>
    <x v="5"/>
  </r>
  <r>
    <n v="431"/>
    <d v="2025-06-07T00:00:00"/>
    <d v="1899-12-30T22:37:00"/>
    <s v="Person/Merchant Payment"/>
    <x v="0"/>
    <n v="29"/>
    <s v="Person_7"/>
    <x v="5"/>
  </r>
  <r>
    <n v="432"/>
    <d v="2025-06-08T00:00:00"/>
    <d v="1899-12-30T18:44:00"/>
    <s v="Person/Merchant Payment"/>
    <x v="0"/>
    <n v="1000"/>
    <s v="Person_94"/>
    <x v="5"/>
  </r>
  <r>
    <n v="433"/>
    <d v="2025-06-09T00:00:00"/>
    <d v="1899-12-30T10:42:00"/>
    <s v="Money Received"/>
    <x v="1"/>
    <n v="5"/>
    <s v="Person_45"/>
    <x v="5"/>
  </r>
  <r>
    <n v="434"/>
    <d v="2025-06-10T00:00:00"/>
    <d v="1899-12-30T19:37:00"/>
    <s v="Money Received"/>
    <x v="1"/>
    <n v="50"/>
    <s v="Person_37"/>
    <x v="5"/>
  </r>
  <r>
    <n v="435"/>
    <d v="2025-06-11T00:00:00"/>
    <d v="1899-12-30T13:19:00"/>
    <s v="Food &amp; Dining"/>
    <x v="0"/>
    <n v="103.96"/>
    <s v="Person_95"/>
    <x v="5"/>
  </r>
  <r>
    <n v="436"/>
    <d v="2025-06-11T00:00:00"/>
    <d v="1899-12-30T13:36:00"/>
    <s v="Person/Merchant Payment"/>
    <x v="0"/>
    <n v="187.9"/>
    <s v="Person_26"/>
    <x v="5"/>
  </r>
  <r>
    <n v="437"/>
    <d v="2025-06-11T00:00:00"/>
    <d v="1899-12-30T16:12:00"/>
    <s v="Money Received"/>
    <x v="1"/>
    <n v="200"/>
    <s v="Person_96"/>
    <x v="5"/>
  </r>
  <r>
    <n v="438"/>
    <d v="2025-06-12T00:00:00"/>
    <d v="1899-12-30T12:11:00"/>
    <s v="Person/Merchant Payment"/>
    <x v="0"/>
    <n v="40"/>
    <s v="Person_97"/>
    <x v="5"/>
  </r>
  <r>
    <n v="439"/>
    <d v="2025-06-12T00:00:00"/>
    <d v="1899-12-30T14:53:00"/>
    <s v="Person/Merchant Payment"/>
    <x v="0"/>
    <n v="140"/>
    <s v="Person_98"/>
    <x v="5"/>
  </r>
  <r>
    <n v="440"/>
    <d v="2025-06-13T00:00:00"/>
    <d v="1899-12-30T07:49:00"/>
    <s v="Person/Merchant Payment"/>
    <x v="0"/>
    <n v="100"/>
    <s v="Person_12"/>
    <x v="5"/>
  </r>
  <r>
    <n v="441"/>
    <d v="2025-06-13T00:00:00"/>
    <d v="1899-12-30T07:52:00"/>
    <s v="Money Received"/>
    <x v="1"/>
    <n v="100"/>
    <s v="Person_12"/>
    <x v="5"/>
  </r>
  <r>
    <n v="442"/>
    <d v="2025-06-13T00:00:00"/>
    <d v="1899-12-30T07:53:00"/>
    <s v="Money Received"/>
    <x v="1"/>
    <n v="200"/>
    <s v="Person_12"/>
    <x v="5"/>
  </r>
  <r>
    <n v="443"/>
    <d v="2025-06-13T00:00:00"/>
    <d v="1899-12-30T07:55:00"/>
    <s v="Money Received"/>
    <x v="1"/>
    <n v="400"/>
    <s v="Person_12"/>
    <x v="5"/>
  </r>
  <r>
    <n v="444"/>
    <d v="2025-06-13T00:00:00"/>
    <d v="1899-12-30T23:24:00"/>
    <s v="Money Received"/>
    <x v="1"/>
    <n v="15"/>
    <s v="Person_1"/>
    <x v="5"/>
  </r>
  <r>
    <n v="445"/>
    <d v="2025-06-14T00:00:00"/>
    <d v="1899-12-30T09:23:00"/>
    <s v="Money Received"/>
    <x v="1"/>
    <n v="1000"/>
    <s v="Person_37"/>
    <x v="5"/>
  </r>
  <r>
    <n v="446"/>
    <d v="2025-06-14T00:00:00"/>
    <d v="1899-12-30T09:39:00"/>
    <s v="Person/Merchant Payment"/>
    <x v="0"/>
    <n v="1000"/>
    <s v="Person_94"/>
    <x v="5"/>
  </r>
  <r>
    <n v="447"/>
    <d v="2025-06-14T00:00:00"/>
    <d v="1899-12-30T20:21:00"/>
    <s v="Person/Merchant Payment"/>
    <x v="0"/>
    <n v="1500"/>
    <s v="Person_67"/>
    <x v="5"/>
  </r>
  <r>
    <n v="448"/>
    <d v="2025-06-15T00:00:00"/>
    <d v="1899-12-30T10:56:00"/>
    <s v="Money Received"/>
    <x v="1"/>
    <n v="200"/>
    <s v="Person_12"/>
    <x v="5"/>
  </r>
  <r>
    <n v="449"/>
    <d v="2025-06-16T00:00:00"/>
    <d v="1899-12-30T14:34:00"/>
    <s v="Person/Merchant Payment"/>
    <x v="0"/>
    <n v="50"/>
    <s v="Person_37"/>
    <x v="5"/>
  </r>
  <r>
    <n v="450"/>
    <d v="2025-06-17T00:00:00"/>
    <d v="1899-12-30T08:17:00"/>
    <s v="Money Received"/>
    <x v="1"/>
    <n v="2500"/>
    <s v="Person_12"/>
    <x v="5"/>
  </r>
  <r>
    <n v="451"/>
    <d v="2025-06-17T00:00:00"/>
    <d v="1899-12-30T09:04:00"/>
    <s v="Person/Merchant Payment"/>
    <x v="0"/>
    <n v="2500"/>
    <s v="Person_7"/>
    <x v="5"/>
  </r>
  <r>
    <n v="452"/>
    <d v="2025-06-17T00:00:00"/>
    <d v="1899-12-30T15:21:00"/>
    <s v="Person/Merchant Payment"/>
    <x v="0"/>
    <n v="30"/>
    <s v="Person_37"/>
    <x v="5"/>
  </r>
  <r>
    <n v="453"/>
    <d v="2025-06-17T00:00:00"/>
    <d v="1899-12-30T23:21:00"/>
    <s v="Money Received"/>
    <x v="1"/>
    <n v="500"/>
    <s v="Person_37"/>
    <x v="5"/>
  </r>
  <r>
    <n v="454"/>
    <d v="2025-06-19T00:00:00"/>
    <d v="1899-12-30T12:15:00"/>
    <s v="Person/Merchant Payment"/>
    <x v="0"/>
    <n v="60"/>
    <s v="Person_8"/>
    <x v="5"/>
  </r>
  <r>
    <n v="455"/>
    <d v="2025-06-19T00:00:00"/>
    <d v="1899-12-30T12:47:00"/>
    <s v="Person/Merchant Payment"/>
    <x v="0"/>
    <n v="10000"/>
    <s v="Person_6"/>
    <x v="5"/>
  </r>
  <r>
    <n v="456"/>
    <d v="2025-06-19T00:00:00"/>
    <d v="1899-12-30T12:47:00"/>
    <s v="Education/Fees"/>
    <x v="0"/>
    <n v="10000"/>
    <s v="Person_99"/>
    <x v="5"/>
  </r>
  <r>
    <n v="457"/>
    <d v="2025-06-19T00:00:00"/>
    <d v="1899-12-30T17:23:00"/>
    <s v="UPI Lite Top-up"/>
    <x v="0"/>
    <n v="500"/>
    <s v="Person_4"/>
    <x v="5"/>
  </r>
  <r>
    <n v="458"/>
    <d v="2025-06-19T00:00:00"/>
    <d v="1899-12-30T18:12:00"/>
    <s v="Money Received"/>
    <x v="1"/>
    <n v="60"/>
    <s v="Person_100"/>
    <x v="5"/>
  </r>
  <r>
    <n v="459"/>
    <d v="2025-06-20T00:00:00"/>
    <d v="1899-12-30T10:29:00"/>
    <s v="Money Received"/>
    <x v="1"/>
    <n v="2000"/>
    <s v="Person_101"/>
    <x v="5"/>
  </r>
  <r>
    <n v="460"/>
    <d v="2025-06-20T00:00:00"/>
    <d v="1899-12-30T12:04:00"/>
    <s v="Person/Merchant Payment"/>
    <x v="0"/>
    <n v="1645"/>
    <s v="Person_102"/>
    <x v="5"/>
  </r>
  <r>
    <n v="461"/>
    <d v="2025-06-20T00:00:00"/>
    <d v="1899-12-30T12:57:00"/>
    <s v="Person/Merchant Payment"/>
    <x v="0"/>
    <n v="140"/>
    <s v="Person_103"/>
    <x v="5"/>
  </r>
  <r>
    <n v="462"/>
    <d v="2025-06-20T00:00:00"/>
    <d v="1899-12-30T13:10:00"/>
    <s v="Person/Merchant Payment"/>
    <x v="0"/>
    <n v="70"/>
    <s v="Person_103"/>
    <x v="5"/>
  </r>
  <r>
    <n v="463"/>
    <d v="2025-06-20T00:00:00"/>
    <d v="1899-12-30T13:13:00"/>
    <s v="Person/Merchant Payment"/>
    <x v="0"/>
    <n v="70"/>
    <s v="Person_103"/>
    <x v="5"/>
  </r>
  <r>
    <n v="464"/>
    <d v="2025-06-20T00:00:00"/>
    <d v="1899-12-30T13:21:00"/>
    <s v="UPI Lite Top-up"/>
    <x v="0"/>
    <n v="70"/>
    <s v="Person_4"/>
    <x v="5"/>
  </r>
  <r>
    <n v="465"/>
    <d v="2025-06-22T00:00:00"/>
    <d v="1899-12-30T18:13:00"/>
    <s v="Money Received"/>
    <x v="1"/>
    <n v="40"/>
    <s v="Person_10"/>
    <x v="5"/>
  </r>
  <r>
    <n v="466"/>
    <d v="2025-06-22T00:00:00"/>
    <d v="1899-12-30T18:17:00"/>
    <s v="Person/Merchant Payment"/>
    <x v="0"/>
    <n v="40"/>
    <s v="Person_11"/>
    <x v="5"/>
  </r>
  <r>
    <n v="467"/>
    <d v="2025-06-22T00:00:00"/>
    <d v="1899-12-30T20:56:00"/>
    <s v="Money Received"/>
    <x v="1"/>
    <n v="30"/>
    <s v="Person_2"/>
    <x v="5"/>
  </r>
  <r>
    <n v="468"/>
    <d v="2025-06-24T00:00:00"/>
    <d v="1899-12-30T16:08:00"/>
    <s v="Money Received"/>
    <x v="1"/>
    <n v="1000"/>
    <s v="Person_1"/>
    <x v="5"/>
  </r>
  <r>
    <n v="469"/>
    <d v="2025-06-24T00:00:00"/>
    <d v="1899-12-30T16:09:00"/>
    <s v="Money Received"/>
    <x v="1"/>
    <n v="1000"/>
    <s v="Person_1"/>
    <x v="5"/>
  </r>
  <r>
    <n v="470"/>
    <d v="2025-06-24T00:00:00"/>
    <d v="1899-12-30T16:22:00"/>
    <s v="Money Received"/>
    <x v="1"/>
    <n v="240"/>
    <s v="Person_1"/>
    <x v="5"/>
  </r>
  <r>
    <n v="471"/>
    <d v="2025-06-24T00:00:00"/>
    <d v="1899-12-30T16:23:00"/>
    <s v="Money Received"/>
    <x v="1"/>
    <n v="200"/>
    <s v="Person_1"/>
    <x v="5"/>
  </r>
  <r>
    <n v="472"/>
    <d v="2025-06-24T00:00:00"/>
    <d v="1899-12-30T21:00:00"/>
    <s v="Money Received"/>
    <x v="1"/>
    <n v="29"/>
    <s v="Person_2"/>
    <x v="5"/>
  </r>
  <r>
    <n v="473"/>
    <d v="2025-06-26T00:00:00"/>
    <d v="1899-12-30T09:49:00"/>
    <s v="Person/Merchant Payment"/>
    <x v="0"/>
    <n v="3000"/>
    <s v="Person_84"/>
    <x v="5"/>
  </r>
  <r>
    <n v="474"/>
    <d v="2025-06-26T00:00:00"/>
    <d v="1899-12-30T16:52:00"/>
    <s v="Others"/>
    <x v="0"/>
    <n v="104"/>
    <s v="Person_29"/>
    <x v="5"/>
  </r>
  <r>
    <n v="475"/>
    <d v="2025-06-29T00:00:00"/>
    <d v="1899-12-30T11:43:00"/>
    <s v="Person/Merchant Payment"/>
    <x v="0"/>
    <n v="300"/>
    <s v="Person_104"/>
    <x v="5"/>
  </r>
  <r>
    <n v="476"/>
    <d v="2025-07-01T00:00:00"/>
    <d v="1899-12-30T18:45:00"/>
    <s v="Money Received"/>
    <x v="1"/>
    <n v="2000"/>
    <s v="Person_71"/>
    <x v="6"/>
  </r>
  <r>
    <n v="477"/>
    <d v="2025-07-01T00:00:00"/>
    <d v="1899-12-30T21:40:00"/>
    <s v="Money Received"/>
    <x v="1"/>
    <n v="180"/>
    <s v="Person_12"/>
    <x v="6"/>
  </r>
  <r>
    <n v="478"/>
    <d v="2025-07-02T00:00:00"/>
    <d v="1899-12-30T10:01:00"/>
    <s v="Person/Merchant Payment"/>
    <x v="0"/>
    <n v="120"/>
    <s v="Person_50"/>
    <x v="6"/>
  </r>
  <r>
    <n v="479"/>
    <d v="2025-07-03T00:00:00"/>
    <d v="1899-12-30T00:38:00"/>
    <s v="Person/Merchant Payment"/>
    <x v="0"/>
    <n v="120"/>
    <s v="Person_105"/>
    <x v="6"/>
  </r>
  <r>
    <n v="480"/>
    <d v="2025-07-03T00:00:00"/>
    <d v="1899-12-30T10:59:00"/>
    <s v="Person/Merchant Payment"/>
    <x v="0"/>
    <n v="2000"/>
    <s v="Person_7"/>
    <x v="6"/>
  </r>
  <r>
    <n v="481"/>
    <d v="2025-07-03T00:00:00"/>
    <d v="1899-12-30T11:03:00"/>
    <s v="Person/Merchant Payment"/>
    <x v="0"/>
    <n v="712"/>
    <s v="Person_7"/>
    <x v="6"/>
  </r>
  <r>
    <n v="482"/>
    <d v="2025-07-03T00:00:00"/>
    <d v="1899-12-30T16:18:00"/>
    <s v="Person/Merchant Payment"/>
    <x v="0"/>
    <n v="40"/>
    <s v="Person_106"/>
    <x v="6"/>
  </r>
  <r>
    <n v="483"/>
    <d v="2025-07-03T00:00:00"/>
    <d v="1899-12-30T18:49:00"/>
    <s v="Money Received"/>
    <x v="1"/>
    <n v="1000"/>
    <s v="Person_71"/>
    <x v="6"/>
  </r>
  <r>
    <n v="484"/>
    <d v="2025-07-03T00:00:00"/>
    <d v="1899-12-30T19:29:00"/>
    <s v="Person/Merchant Payment"/>
    <x v="0"/>
    <n v="1000"/>
    <s v="Person_7"/>
    <x v="6"/>
  </r>
  <r>
    <n v="485"/>
    <d v="2025-07-03T00:00:00"/>
    <d v="1899-12-30T23:45:00"/>
    <s v="Person/Merchant Payment"/>
    <x v="0"/>
    <n v="5000"/>
    <s v="Person_50"/>
    <x v="6"/>
  </r>
  <r>
    <n v="486"/>
    <d v="2025-07-04T00:00:00"/>
    <d v="1899-12-30T09:37:00"/>
    <s v="Money Received"/>
    <x v="1"/>
    <n v="5000"/>
    <s v="Person_50"/>
    <x v="6"/>
  </r>
  <r>
    <n v="487"/>
    <d v="2025-07-04T00:00:00"/>
    <d v="1899-12-30T15:38:00"/>
    <s v="Person/Merchant Payment"/>
    <x v="0"/>
    <n v="59"/>
    <s v="Person_34"/>
    <x v="6"/>
  </r>
  <r>
    <n v="488"/>
    <d v="2025-07-04T00:00:00"/>
    <d v="1899-12-30T15:39:00"/>
    <s v="Person/Merchant Payment"/>
    <x v="0"/>
    <n v="5"/>
    <s v="Person_34"/>
    <x v="6"/>
  </r>
  <r>
    <n v="489"/>
    <d v="2025-07-04T00:00:00"/>
    <d v="1899-12-30T15:43:00"/>
    <s v="Money Received"/>
    <x v="1"/>
    <n v="30"/>
    <s v="Person_50"/>
    <x v="6"/>
  </r>
  <r>
    <n v="490"/>
    <d v="2025-07-04T00:00:00"/>
    <d v="1899-12-30T15:54:00"/>
    <s v="Money Received"/>
    <x v="1"/>
    <n v="25"/>
    <s v="Person_107"/>
    <x v="6"/>
  </r>
  <r>
    <n v="491"/>
    <d v="2025-07-04T00:00:00"/>
    <d v="1899-12-30T15:55:00"/>
    <s v="Money Received"/>
    <x v="1"/>
    <n v="30"/>
    <s v="Person_17"/>
    <x v="6"/>
  </r>
  <r>
    <n v="492"/>
    <d v="2025-07-05T00:00:00"/>
    <d v="1899-12-30T10:36:00"/>
    <s v="Person/Merchant Payment"/>
    <x v="0"/>
    <n v="4000"/>
    <s v="Person_50"/>
    <x v="6"/>
  </r>
  <r>
    <n v="493"/>
    <d v="2025-07-05T00:00:00"/>
    <d v="1899-12-30T14:52:00"/>
    <s v="Person/Merchant Payment"/>
    <x v="0"/>
    <n v="200"/>
    <s v="Person_105"/>
    <x v="6"/>
  </r>
  <r>
    <n v="494"/>
    <d v="2025-07-05T00:00:00"/>
    <d v="1899-12-30T19:20:00"/>
    <s v="Person/Merchant Payment"/>
    <x v="0"/>
    <n v="1000"/>
    <s v="Person_108"/>
    <x v="6"/>
  </r>
  <r>
    <n v="495"/>
    <d v="2025-07-05T00:00:00"/>
    <d v="1899-12-30T21:44:00"/>
    <s v="Person/Merchant Payment"/>
    <x v="0"/>
    <n v="500"/>
    <s v="Person_40"/>
    <x v="6"/>
  </r>
  <r>
    <n v="496"/>
    <d v="2025-07-05T00:00:00"/>
    <d v="1899-12-30T21:58:00"/>
    <s v="Money Received"/>
    <x v="1"/>
    <n v="500"/>
    <s v="Person_40"/>
    <x v="6"/>
  </r>
  <r>
    <n v="497"/>
    <d v="2025-07-07T00:00:00"/>
    <d v="1899-12-30T20:38:00"/>
    <s v="Person/Merchant Payment"/>
    <x v="0"/>
    <n v="500"/>
    <s v="Person_40"/>
    <x v="6"/>
  </r>
  <r>
    <n v="498"/>
    <d v="2025-07-07T00:00:00"/>
    <d v="1899-12-30T20:57:00"/>
    <s v="Person/Merchant Payment"/>
    <x v="0"/>
    <n v="1000"/>
    <s v="Person_7"/>
    <x v="6"/>
  </r>
  <r>
    <n v="499"/>
    <d v="2025-07-08T00:00:00"/>
    <d v="1899-12-30T11:48:00"/>
    <s v="Money Received"/>
    <x v="1"/>
    <n v="5000"/>
    <s v="Person_109"/>
    <x v="6"/>
  </r>
  <r>
    <n v="500"/>
    <d v="2025-07-08T00:00:00"/>
    <d v="1899-12-30T14:29:00"/>
    <s v="Person/Merchant Payment"/>
    <x v="0"/>
    <n v="60"/>
    <s v="Person_110"/>
    <x v="6"/>
  </r>
  <r>
    <n v="501"/>
    <d v="2025-07-08T00:00:00"/>
    <d v="1899-12-30T14:40:00"/>
    <s v="Person/Merchant Payment"/>
    <x v="0"/>
    <n v="40"/>
    <s v="Person_47"/>
    <x v="6"/>
  </r>
  <r>
    <n v="502"/>
    <d v="2025-07-08T00:00:00"/>
    <d v="1899-12-30T14:44:00"/>
    <s v="Person/Merchant Payment"/>
    <x v="0"/>
    <n v="20"/>
    <s v="Person_34"/>
    <x v="6"/>
  </r>
  <r>
    <n v="503"/>
    <d v="2025-07-08T00:00:00"/>
    <d v="1899-12-30T22:33:00"/>
    <s v="Person/Merchant Payment"/>
    <x v="0"/>
    <n v="5000"/>
    <s v="Person_7"/>
    <x v="6"/>
  </r>
  <r>
    <n v="504"/>
    <d v="2025-07-09T00:00:00"/>
    <d v="1899-12-30T10:11:00"/>
    <s v="Money Received"/>
    <x v="1"/>
    <n v="175"/>
    <s v="Person_50"/>
    <x v="6"/>
  </r>
  <r>
    <n v="505"/>
    <d v="2025-07-09T00:00:00"/>
    <d v="1899-12-30T10:13:00"/>
    <s v="Others"/>
    <x v="0"/>
    <n v="174"/>
    <s v="Person_29"/>
    <x v="6"/>
  </r>
  <r>
    <n v="506"/>
    <d v="2025-07-09T00:00:00"/>
    <d v="1899-12-30T10:35:00"/>
    <s v="Person/Merchant Payment"/>
    <x v="0"/>
    <n v="1800"/>
    <s v="Person_111"/>
    <x v="6"/>
  </r>
  <r>
    <n v="507"/>
    <d v="2025-07-09T00:00:00"/>
    <d v="1899-12-30T15:12:00"/>
    <s v="Person/Merchant Payment"/>
    <x v="0"/>
    <n v="2000"/>
    <s v="Person_112"/>
    <x v="6"/>
  </r>
  <r>
    <n v="508"/>
    <d v="2025-07-09T00:00:00"/>
    <d v="1899-12-30T15:16:00"/>
    <s v="Money Received"/>
    <x v="1"/>
    <n v="1000"/>
    <s v="Person_12"/>
    <x v="6"/>
  </r>
  <r>
    <n v="509"/>
    <d v="2025-07-09T00:00:00"/>
    <d v="1899-12-30T15:19:00"/>
    <s v="Money Received"/>
    <x v="1"/>
    <n v="20"/>
    <s v="Person_1"/>
    <x v="6"/>
  </r>
  <r>
    <n v="510"/>
    <d v="2025-07-09T00:00:00"/>
    <d v="1899-12-30T15:27:00"/>
    <s v="Person/Merchant Payment"/>
    <x v="0"/>
    <n v="1000"/>
    <s v="Person_7"/>
    <x v="6"/>
  </r>
  <r>
    <n v="511"/>
    <d v="2025-07-09T00:00:00"/>
    <d v="1899-12-30T21:47:00"/>
    <s v="Person/Merchant Payment"/>
    <x v="0"/>
    <n v="2500"/>
    <s v="Person_50"/>
    <x v="6"/>
  </r>
  <r>
    <n v="512"/>
    <d v="2025-07-12T00:00:00"/>
    <d v="1899-12-30T09:20:00"/>
    <s v="Money Received"/>
    <x v="1"/>
    <n v="200"/>
    <s v="Person_12"/>
    <x v="6"/>
  </r>
  <r>
    <n v="513"/>
    <d v="2025-07-13T00:00:00"/>
    <d v="1899-12-30T14:17:00"/>
    <s v="Person/Merchant Payment"/>
    <x v="0"/>
    <n v="50"/>
    <s v="Person_15"/>
    <x v="6"/>
  </r>
  <r>
    <n v="514"/>
    <d v="2025-07-13T00:00:00"/>
    <d v="1899-12-30T14:27:00"/>
    <s v="Person/Merchant Payment"/>
    <x v="0"/>
    <n v="30"/>
    <s v="Person_113"/>
    <x v="6"/>
  </r>
  <r>
    <n v="515"/>
    <d v="2025-07-13T00:00:00"/>
    <d v="1899-12-30T18:08:00"/>
    <s v="Person/Merchant Payment"/>
    <x v="0"/>
    <n v="1200"/>
    <s v="Person_50"/>
    <x v="6"/>
  </r>
  <r>
    <n v="516"/>
    <d v="2025-07-13T00:00:00"/>
    <d v="1899-12-30T18:30:00"/>
    <s v="Person/Merchant Payment"/>
    <x v="0"/>
    <n v="300"/>
    <s v="Person_114"/>
    <x v="6"/>
  </r>
  <r>
    <n v="517"/>
    <d v="2025-07-13T00:00:00"/>
    <d v="1899-12-30T18:37:00"/>
    <s v="Person/Merchant Payment"/>
    <x v="0"/>
    <n v="70"/>
    <s v="Person_115"/>
    <x v="6"/>
  </r>
  <r>
    <n v="518"/>
    <d v="2025-07-13T00:00:00"/>
    <d v="1899-12-30T18:42:00"/>
    <s v="Person/Merchant Payment"/>
    <x v="0"/>
    <n v="62"/>
    <s v="Person_19"/>
    <x v="6"/>
  </r>
  <r>
    <n v="519"/>
    <d v="2025-07-13T00:00:00"/>
    <d v="1899-12-30T18:44:00"/>
    <s v="Person/Merchant Payment"/>
    <x v="0"/>
    <n v="25"/>
    <s v="Person_50"/>
    <x v="6"/>
  </r>
  <r>
    <n v="520"/>
    <d v="2025-07-15T00:00:00"/>
    <d v="1899-12-30T10:14:00"/>
    <s v="Person/Merchant Payment"/>
    <x v="0"/>
    <n v="72"/>
    <s v="Person_50"/>
    <x v="6"/>
  </r>
  <r>
    <n v="521"/>
    <d v="2025-07-15T00:00:00"/>
    <d v="1899-12-30T10:35:00"/>
    <s v="Person/Merchant Payment"/>
    <x v="0"/>
    <n v="50"/>
    <s v="Person_50"/>
    <x v="6"/>
  </r>
  <r>
    <n v="522"/>
    <d v="2025-07-15T00:00:00"/>
    <d v="1899-12-30T13:42:00"/>
    <s v="Person/Merchant Payment"/>
    <x v="0"/>
    <n v="1000"/>
    <s v="Person_116"/>
    <x v="6"/>
  </r>
  <r>
    <n v="523"/>
    <d v="2025-07-15T00:00:00"/>
    <d v="1899-12-30T22:25:00"/>
    <s v="Person/Merchant Payment"/>
    <x v="0"/>
    <n v="1000"/>
    <s v="Person_58"/>
    <x v="6"/>
  </r>
  <r>
    <n v="524"/>
    <d v="2025-07-16T00:00:00"/>
    <d v="1899-12-30T04:34:00"/>
    <s v="Others"/>
    <x v="1"/>
    <n v="174"/>
    <s v="Person_117"/>
    <x v="6"/>
  </r>
  <r>
    <n v="525"/>
    <d v="2025-07-16T00:00:00"/>
    <d v="1899-12-30T04:34:00"/>
    <s v="Others"/>
    <x v="1"/>
    <n v="174"/>
    <s v="Person_118"/>
    <x v="6"/>
  </r>
  <r>
    <n v="526"/>
    <d v="2025-07-16T00:00:00"/>
    <d v="1899-12-30T21:57:00"/>
    <s v="Person/Merchant Payment"/>
    <x v="0"/>
    <n v="1100"/>
    <s v="Person_50"/>
    <x v="6"/>
  </r>
  <r>
    <n v="527"/>
    <d v="2025-07-16T00:00:00"/>
    <d v="1899-12-30T22:00:00"/>
    <s v="Person/Merchant Payment"/>
    <x v="0"/>
    <n v="2000"/>
    <s v="Person_17"/>
    <x v="6"/>
  </r>
  <r>
    <n v="528"/>
    <d v="2025-07-16T00:00:00"/>
    <d v="1899-12-30T22:07:00"/>
    <s v="Person/Merchant Payment"/>
    <x v="0"/>
    <n v="574"/>
    <s v="Person_6"/>
    <x v="6"/>
  </r>
  <r>
    <n v="529"/>
    <d v="2025-07-17T00:00:00"/>
    <d v="1899-12-30T09:18:00"/>
    <s v="Money Received"/>
    <x v="1"/>
    <n v="2000"/>
    <s v="Person_12"/>
    <x v="6"/>
  </r>
  <r>
    <n v="530"/>
    <d v="2025-07-17T00:00:00"/>
    <d v="1899-12-30T09:34:00"/>
    <s v="Person/Merchant Payment"/>
    <x v="0"/>
    <n v="2000"/>
    <s v="Person_7"/>
    <x v="6"/>
  </r>
  <r>
    <n v="531"/>
    <d v="2025-07-17T00:00:00"/>
    <d v="1899-12-30T21:29:00"/>
    <s v="Person/Merchant Payment"/>
    <x v="0"/>
    <n v="174"/>
    <s v="Person_119"/>
    <x v="6"/>
  </r>
  <r>
    <n v="532"/>
    <d v="2025-07-18T00:00:00"/>
    <d v="1899-12-30T20:25:00"/>
    <s v="Person/Merchant Payment"/>
    <x v="0"/>
    <n v="1000"/>
    <s v="Person_10"/>
    <x v="6"/>
  </r>
  <r>
    <n v="533"/>
    <d v="2025-07-19T00:00:00"/>
    <d v="1899-12-30T10:08:00"/>
    <s v="Money Received"/>
    <x v="1"/>
    <n v="500"/>
    <s v="Person_12"/>
    <x v="6"/>
  </r>
  <r>
    <n v="534"/>
    <d v="2025-07-19T00:00:00"/>
    <d v="1899-12-30T11:49:00"/>
    <s v="Money Received"/>
    <x v="1"/>
    <n v="20"/>
    <s v="Person_12"/>
    <x v="6"/>
  </r>
  <r>
    <n v="535"/>
    <d v="2025-07-19T00:00:00"/>
    <d v="1899-12-30T12:19:00"/>
    <s v="Person/Merchant Payment"/>
    <x v="0"/>
    <n v="500"/>
    <s v="Person_120"/>
    <x v="6"/>
  </r>
  <r>
    <n v="536"/>
    <d v="2025-07-19T00:00:00"/>
    <d v="1899-12-30T14:59:00"/>
    <s v="Person/Merchant Payment"/>
    <x v="0"/>
    <n v="299"/>
    <s v="Person_121"/>
    <x v="6"/>
  </r>
  <r>
    <n v="537"/>
    <d v="2025-07-19T00:00:00"/>
    <d v="1899-12-30T22:47:00"/>
    <s v="Person/Merchant Payment"/>
    <x v="0"/>
    <n v="500"/>
    <s v="Person_75"/>
    <x v="6"/>
  </r>
  <r>
    <n v="538"/>
    <d v="2025-07-20T00:00:00"/>
    <d v="1899-12-30T10:05:00"/>
    <s v="Money Received"/>
    <x v="1"/>
    <n v="500"/>
    <s v="Person_75"/>
    <x v="6"/>
  </r>
  <r>
    <n v="539"/>
    <d v="2025-07-21T00:00:00"/>
    <d v="1899-12-30T08:59:00"/>
    <s v="Person/Merchant Payment"/>
    <x v="0"/>
    <n v="500"/>
    <s v="Person_122"/>
    <x v="6"/>
  </r>
  <r>
    <n v="540"/>
    <d v="2025-07-21T00:00:00"/>
    <d v="1899-12-30T09:02:00"/>
    <s v="Person/Merchant Payment"/>
    <x v="0"/>
    <n v="500"/>
    <s v="Person_7"/>
    <x v="6"/>
  </r>
  <r>
    <n v="541"/>
    <d v="2025-07-22T00:00:00"/>
    <d v="1899-12-30T11:50:00"/>
    <s v="Person/Merchant Payment"/>
    <x v="0"/>
    <n v="430"/>
    <s v="Person_123"/>
    <x v="6"/>
  </r>
  <r>
    <n v="542"/>
    <d v="2025-07-22T00:00:00"/>
    <d v="1899-12-30T12:56:00"/>
    <s v="Money Received"/>
    <x v="1"/>
    <n v="342"/>
    <s v="Person_12"/>
    <x v="6"/>
  </r>
  <r>
    <n v="543"/>
    <d v="2025-07-22T00:00:00"/>
    <d v="1899-12-30T12:56:00"/>
    <s v="Person/Merchant Payment"/>
    <x v="0"/>
    <n v="344"/>
    <s v="Person_12"/>
    <x v="6"/>
  </r>
  <r>
    <n v="544"/>
    <d v="2025-07-22T00:00:00"/>
    <d v="1899-12-30T15:42:00"/>
    <s v="Person/Merchant Payment"/>
    <x v="0"/>
    <n v="3000"/>
    <s v="Person_124"/>
    <x v="6"/>
  </r>
  <r>
    <n v="545"/>
    <d v="2025-07-22T00:00:00"/>
    <d v="1899-12-30T18:02:00"/>
    <s v="UPI Lite Top-up"/>
    <x v="0"/>
    <n v="3000"/>
    <s v="Person_4"/>
    <x v="6"/>
  </r>
  <r>
    <n v="546"/>
    <d v="2025-07-22T00:00:00"/>
    <d v="1899-12-30T18:02:00"/>
    <s v="Person/Merchant Payment"/>
    <x v="0"/>
    <n v="3000"/>
    <s v="Person_6"/>
    <x v="6"/>
  </r>
  <r>
    <n v="547"/>
    <d v="2025-07-22T00:00:00"/>
    <d v="1899-12-30T20:12:00"/>
    <s v="Money Received"/>
    <x v="1"/>
    <n v="2500"/>
    <s v="Person_50"/>
    <x v="6"/>
  </r>
  <r>
    <n v="548"/>
    <d v="2025-07-22T00:00:00"/>
    <d v="1899-12-30T20:16:00"/>
    <s v="Person/Merchant Payment"/>
    <x v="0"/>
    <n v="2500"/>
    <s v="Person_7"/>
    <x v="6"/>
  </r>
  <r>
    <n v="549"/>
    <d v="2025-07-23T00:00:00"/>
    <d v="1899-12-30T11:16:00"/>
    <s v="Person/Merchant Payment"/>
    <x v="0"/>
    <n v="1000"/>
    <s v="Person_125"/>
    <x v="6"/>
  </r>
  <r>
    <n v="550"/>
    <d v="2025-07-23T00:00:00"/>
    <d v="1899-12-30T16:05:00"/>
    <s v="Person/Merchant Payment"/>
    <x v="0"/>
    <n v="1000"/>
    <s v="Person_37"/>
    <x v="6"/>
  </r>
  <r>
    <n v="551"/>
    <d v="2025-07-23T00:00:00"/>
    <d v="1899-12-30T20:19:00"/>
    <s v="Money Received"/>
    <x v="1"/>
    <n v="930"/>
    <s v="Person_75"/>
    <x v="6"/>
  </r>
  <r>
    <n v="552"/>
    <d v="2025-07-23T00:00:00"/>
    <d v="1899-12-30T20:22:00"/>
    <s v="UPI Lite Top-up"/>
    <x v="0"/>
    <n v="500"/>
    <s v="Person_4"/>
    <x v="6"/>
  </r>
  <r>
    <n v="553"/>
    <d v="2025-07-23T00:00:00"/>
    <d v="1899-12-30T20:22:00"/>
    <s v="Person/Merchant Payment"/>
    <x v="0"/>
    <n v="430"/>
    <s v="Person_7"/>
    <x v="6"/>
  </r>
  <r>
    <n v="554"/>
    <d v="2025-07-24T00:00:00"/>
    <d v="1899-12-30T08:12:00"/>
    <s v="Person/Merchant Payment"/>
    <x v="0"/>
    <n v="1000"/>
    <s v="Person_12"/>
    <x v="6"/>
  </r>
  <r>
    <n v="555"/>
    <d v="2025-07-24T00:00:00"/>
    <d v="1899-12-30T08:13:00"/>
    <s v="Money Received"/>
    <x v="1"/>
    <n v="1000"/>
    <s v="Person_12"/>
    <x v="6"/>
  </r>
  <r>
    <n v="556"/>
    <d v="2025-07-25T00:00:00"/>
    <d v="1899-12-30T09:33:00"/>
    <s v="UPI Lite Top-up"/>
    <x v="0"/>
    <n v="1000"/>
    <s v="Person_4"/>
    <x v="6"/>
  </r>
  <r>
    <n v="557"/>
    <d v="2025-07-25T00:00:00"/>
    <d v="1899-12-30T19:14:00"/>
    <s v="Person/Merchant Payment"/>
    <x v="0"/>
    <n v="170"/>
    <s v="Person_37"/>
    <x v="6"/>
  </r>
  <r>
    <n v="558"/>
    <d v="2025-07-26T00:00:00"/>
    <d v="1899-12-30T10:55:00"/>
    <s v="Person/Merchant Payment"/>
    <x v="0"/>
    <n v="480"/>
    <s v="Person_126"/>
    <x v="6"/>
  </r>
  <r>
    <n v="559"/>
    <d v="2025-07-27T00:00:00"/>
    <d v="1899-12-30T11:00:00"/>
    <s v="Person/Merchant Payment"/>
    <x v="0"/>
    <n v="750"/>
    <s v="Person_119"/>
    <x v="6"/>
  </r>
  <r>
    <n v="560"/>
    <d v="2025-07-27T00:00:00"/>
    <d v="1899-12-30T19:44:00"/>
    <s v="Money Received"/>
    <x v="1"/>
    <n v="750"/>
    <s v="Person_2"/>
    <x v="6"/>
  </r>
  <r>
    <n v="561"/>
    <d v="2025-07-27T00:00:00"/>
    <d v="1899-12-30T19:45:00"/>
    <s v="UPI Lite Top-up"/>
    <x v="0"/>
    <n v="750"/>
    <s v="Person_4"/>
    <x v="6"/>
  </r>
  <r>
    <n v="562"/>
    <d v="2025-07-30T00:00:00"/>
    <d v="1899-12-30T12:18:00"/>
    <s v="Money Received"/>
    <x v="1"/>
    <n v="2000"/>
    <s v="Person_2"/>
    <x v="6"/>
  </r>
  <r>
    <n v="563"/>
    <d v="2025-07-30T00:00:00"/>
    <d v="1899-12-30T12:23:00"/>
    <s v="Person/Merchant Payment"/>
    <x v="0"/>
    <n v="2000"/>
    <s v="Person_101"/>
    <x v="6"/>
  </r>
  <r>
    <n v="564"/>
    <d v="2025-08-01T00:00:00"/>
    <d v="1899-12-30T22:01:00"/>
    <s v="Person/Merchant Payment"/>
    <x v="0"/>
    <n v="1000"/>
    <s v="Person_75"/>
    <x v="7"/>
  </r>
  <r>
    <n v="565"/>
    <d v="2025-08-01T00:00:00"/>
    <d v="1899-12-30T22:01:00"/>
    <s v="Person/Merchant Payment"/>
    <x v="0"/>
    <n v="1000"/>
    <s v="Person_75"/>
    <x v="7"/>
  </r>
  <r>
    <n v="566"/>
    <d v="2025-08-03T00:00:00"/>
    <d v="1899-12-30T19:20:00"/>
    <s v="Money Received"/>
    <x v="1"/>
    <n v="2000"/>
    <s v="Person_66"/>
    <x v="7"/>
  </r>
  <r>
    <n v="567"/>
    <d v="2025-08-03T00:00:00"/>
    <d v="1899-12-30T22:04:00"/>
    <s v="UPI Lite Top-up"/>
    <x v="0"/>
    <n v="2000"/>
    <s v="Person_4"/>
    <x v="7"/>
  </r>
  <r>
    <n v="568"/>
    <d v="2025-08-03T00:00:00"/>
    <d v="1899-12-30T22:04:00"/>
    <s v="Money Received"/>
    <x v="1"/>
    <n v="19"/>
    <s v="Person_12"/>
    <x v="7"/>
  </r>
  <r>
    <n v="569"/>
    <d v="2025-08-04T00:00:00"/>
    <d v="1899-12-30T08:40:00"/>
    <s v="Money Received"/>
    <x v="1"/>
    <n v="175"/>
    <s v="Person_2"/>
    <x v="7"/>
  </r>
  <r>
    <n v="570"/>
    <d v="2025-08-04T00:00:00"/>
    <d v="1899-12-30T08:41:00"/>
    <s v="Others"/>
    <x v="0"/>
    <n v="172"/>
    <s v="Person_29"/>
    <x v="7"/>
  </r>
  <r>
    <n v="571"/>
    <d v="2025-08-04T00:00:00"/>
    <d v="1899-12-30T10:01:00"/>
    <s v="Person/Merchant Payment"/>
    <x v="0"/>
    <n v="7500"/>
    <s v="Person_3"/>
    <x v="7"/>
  </r>
  <r>
    <n v="572"/>
    <d v="2025-08-04T00:00:00"/>
    <d v="1899-12-30T10:16:00"/>
    <s v="Person/Merchant Payment"/>
    <x v="0"/>
    <n v="1000"/>
    <s v="Person_75"/>
    <x v="7"/>
  </r>
  <r>
    <n v="573"/>
    <d v="2025-08-04T00:00:00"/>
    <d v="1899-12-30T10:16:00"/>
    <s v="Person/Merchant Payment"/>
    <x v="0"/>
    <n v="1000"/>
    <s v="Person_75"/>
    <x v="7"/>
  </r>
  <r>
    <n v="574"/>
    <d v="2025-08-04T00:00:00"/>
    <d v="1899-12-30T11:38:00"/>
    <s v="Recharge"/>
    <x v="0"/>
    <n v="302"/>
    <s v="Person_18"/>
    <x v="7"/>
  </r>
  <r>
    <n v="575"/>
    <d v="2025-08-04T00:00:00"/>
    <d v="1899-12-30T12:25:00"/>
    <s v="Money Received"/>
    <x v="1"/>
    <n v="302"/>
    <s v="Person_127"/>
    <x v="7"/>
  </r>
  <r>
    <n v="576"/>
    <d v="2025-08-04T00:00:00"/>
    <d v="1899-12-30T12:58:00"/>
    <s v="UPI Lite Top-up"/>
    <x v="0"/>
    <n v="302"/>
    <s v="Person_4"/>
    <x v="7"/>
  </r>
  <r>
    <n v="577"/>
    <d v="2025-08-04T00:00:00"/>
    <d v="1899-12-30T15:44:00"/>
    <s v="Money Received"/>
    <x v="1"/>
    <n v="217"/>
    <s v="Person_12"/>
    <x v="7"/>
  </r>
  <r>
    <n v="578"/>
    <d v="2025-08-04T00:00:00"/>
    <d v="1899-12-30T15:44:00"/>
    <s v="Money Received"/>
    <x v="1"/>
    <n v="31"/>
    <s v="Person_12"/>
    <x v="7"/>
  </r>
  <r>
    <n v="579"/>
    <d v="2025-08-04T00:00:00"/>
    <d v="1899-12-30T15:45:00"/>
    <s v="Others"/>
    <x v="0"/>
    <n v="263"/>
    <s v="Person_29"/>
    <x v="7"/>
  </r>
  <r>
    <n v="580"/>
    <d v="2025-08-05T00:00:00"/>
    <d v="1899-12-30T13:53:00"/>
    <s v="Money Received"/>
    <x v="1"/>
    <n v="3000"/>
    <s v="Person_12"/>
    <x v="7"/>
  </r>
  <r>
    <n v="581"/>
    <d v="2025-08-06T00:00:00"/>
    <d v="1899-12-30T11:11:00"/>
    <s v="Person/Merchant Payment"/>
    <x v="0"/>
    <n v="3000"/>
    <s v="Person_7"/>
    <x v="7"/>
  </r>
  <r>
    <n v="582"/>
    <d v="2025-08-06T00:00:00"/>
    <d v="1899-12-30T13:50:00"/>
    <s v="Money Received"/>
    <x v="1"/>
    <n v="100"/>
    <s v="Person_128"/>
    <x v="7"/>
  </r>
  <r>
    <n v="583"/>
    <d v="2025-08-06T00:00:00"/>
    <d v="1899-12-30T13:52:00"/>
    <s v="Money Received"/>
    <x v="1"/>
    <n v="10"/>
    <s v="Person_128"/>
    <x v="7"/>
  </r>
  <r>
    <n v="584"/>
    <d v="2025-08-06T00:00:00"/>
    <d v="1899-12-30T13:53:00"/>
    <s v="Money Received"/>
    <x v="1"/>
    <n v="90"/>
    <s v="Person_128"/>
    <x v="7"/>
  </r>
  <r>
    <n v="585"/>
    <d v="2025-08-06T00:00:00"/>
    <d v="1899-12-30T13:55:00"/>
    <s v="Money Received"/>
    <x v="1"/>
    <n v="200"/>
    <s v="Person_128"/>
    <x v="7"/>
  </r>
  <r>
    <n v="586"/>
    <d v="2025-08-06T00:00:00"/>
    <d v="1899-12-30T19:11:00"/>
    <s v="Money Received"/>
    <x v="1"/>
    <n v="7500"/>
    <s v="Person_45"/>
    <x v="7"/>
  </r>
  <r>
    <n v="587"/>
    <d v="2025-08-06T00:00:00"/>
    <d v="1899-12-30T19:13:00"/>
    <s v="Person/Merchant Payment"/>
    <x v="0"/>
    <n v="7500"/>
    <s v="Person_7"/>
    <x v="7"/>
  </r>
  <r>
    <n v="588"/>
    <d v="2025-08-07T00:00:00"/>
    <d v="1899-12-30T13:04:00"/>
    <s v="Money Received"/>
    <x v="1"/>
    <n v="1000"/>
    <s v="Person_129"/>
    <x v="7"/>
  </r>
  <r>
    <n v="589"/>
    <d v="2025-08-08T00:00:00"/>
    <d v="1899-12-30T09:02:00"/>
    <s v="Person/Merchant Payment"/>
    <x v="0"/>
    <n v="2640"/>
    <s v="Person_12"/>
    <x v="7"/>
  </r>
  <r>
    <n v="590"/>
    <d v="2025-08-08T00:00:00"/>
    <d v="1899-12-30T09:04:00"/>
    <s v="Person/Merchant Payment"/>
    <x v="0"/>
    <n v="3"/>
    <s v="Person_12"/>
    <x v="7"/>
  </r>
  <r>
    <n v="591"/>
    <d v="2025-08-09T00:00:00"/>
    <d v="1899-12-30T09:55:00"/>
    <s v="UPI Lite Top-up"/>
    <x v="0"/>
    <n v="1000"/>
    <s v="Person_4"/>
    <x v="7"/>
  </r>
  <r>
    <n v="592"/>
    <d v="2025-08-09T00:00:00"/>
    <d v="1899-12-30T10:22:00"/>
    <s v="Person/Merchant Payment"/>
    <x v="0"/>
    <n v="1000"/>
    <s v="Person_45"/>
    <x v="7"/>
  </r>
  <r>
    <n v="593"/>
    <d v="2025-08-09T00:00:00"/>
    <d v="1899-12-30T12:32:00"/>
    <s v="Person/Merchant Payment"/>
    <x v="0"/>
    <n v="1000"/>
    <s v="Person_45"/>
    <x v="7"/>
  </r>
  <r>
    <n v="594"/>
    <d v="2025-08-09T00:00:00"/>
    <d v="1899-12-30T17:47:00"/>
    <s v="Money Received"/>
    <x v="1"/>
    <n v="2400"/>
    <s v="Person_127"/>
    <x v="7"/>
  </r>
  <r>
    <n v="595"/>
    <d v="2025-08-09T00:00:00"/>
    <d v="1899-12-30T18:11:00"/>
    <s v="Person/Merchant Payment"/>
    <x v="0"/>
    <n v="600"/>
    <s v="Person_130"/>
    <x v="7"/>
  </r>
  <r>
    <n v="596"/>
    <d v="2025-08-09T00:00:00"/>
    <d v="1899-12-30T18:13:00"/>
    <s v="Person/Merchant Payment"/>
    <x v="0"/>
    <n v="600"/>
    <s v="Person_130"/>
    <x v="7"/>
  </r>
  <r>
    <n v="597"/>
    <d v="2025-08-09T00:00:00"/>
    <d v="1899-12-30T18:16:00"/>
    <s v="Person/Merchant Payment"/>
    <x v="0"/>
    <n v="600"/>
    <s v="Person_130"/>
    <x v="7"/>
  </r>
  <r>
    <n v="598"/>
    <d v="2025-08-09T00:00:00"/>
    <d v="1899-12-30T18:19:00"/>
    <s v="Person/Merchant Payment"/>
    <x v="0"/>
    <n v="600"/>
    <s v="Person_130"/>
    <x v="7"/>
  </r>
  <r>
    <n v="599"/>
    <d v="2025-08-09T00:00:00"/>
    <d v="1899-12-30T19:44:00"/>
    <s v="Person/Merchant Payment"/>
    <x v="0"/>
    <n v="10"/>
    <s v="Person_131"/>
    <x v="7"/>
  </r>
  <r>
    <n v="600"/>
    <d v="2025-08-10T00:00:00"/>
    <d v="1899-12-30T04:33:00"/>
    <s v="Others"/>
    <x v="1"/>
    <n v="172"/>
    <s v="Person_117"/>
    <x v="7"/>
  </r>
  <r>
    <n v="601"/>
    <d v="2025-08-10T00:00:00"/>
    <d v="1899-12-30T04:33:00"/>
    <s v="Others"/>
    <x v="1"/>
    <n v="172"/>
    <s v="Person_118"/>
    <x v="7"/>
  </r>
  <r>
    <n v="602"/>
    <d v="2025-08-10T00:00:00"/>
    <d v="1899-12-30T07:10:00"/>
    <s v="Others"/>
    <x v="0"/>
    <n v="170"/>
    <s v="Person_29"/>
    <x v="7"/>
  </r>
  <r>
    <n v="603"/>
    <d v="2025-08-10T00:00:00"/>
    <d v="1899-12-30T13:17:00"/>
    <s v="Person/Merchant Payment"/>
    <x v="0"/>
    <n v="4500"/>
    <s v="Person_50"/>
    <x v="7"/>
  </r>
  <r>
    <n v="604"/>
    <d v="2025-08-11T00:00:00"/>
    <d v="1899-12-30T07:28:00"/>
    <s v="Money Received"/>
    <x v="1"/>
    <n v="200"/>
    <s v="Person_132"/>
    <x v="7"/>
  </r>
  <r>
    <n v="605"/>
    <d v="2025-08-11T00:00:00"/>
    <d v="1899-12-30T12:41:00"/>
    <s v="Person/Merchant Payment"/>
    <x v="0"/>
    <n v="40"/>
    <s v="Person_133"/>
    <x v="7"/>
  </r>
  <r>
    <n v="606"/>
    <d v="2025-08-11T00:00:00"/>
    <d v="1899-12-30T13:35:00"/>
    <s v="Person/Merchant Payment"/>
    <x v="0"/>
    <n v="40"/>
    <s v="Person_134"/>
    <x v="7"/>
  </r>
  <r>
    <n v="607"/>
    <d v="2025-08-11T00:00:00"/>
    <d v="1899-12-30T14:12:00"/>
    <s v="Person/Merchant Payment"/>
    <x v="0"/>
    <n v="100"/>
    <s v="Person_12"/>
    <x v="7"/>
  </r>
  <r>
    <n v="608"/>
    <d v="2025-08-11T00:00:00"/>
    <d v="1899-12-30T15:01:00"/>
    <s v="UPI Lite Top-up"/>
    <x v="0"/>
    <n v="40"/>
    <s v="Person_4"/>
    <x v="7"/>
  </r>
  <r>
    <n v="609"/>
    <d v="2025-08-11T00:00:00"/>
    <d v="1899-12-30T18:33:00"/>
    <s v="Money Received"/>
    <x v="1"/>
    <n v="100"/>
    <s v="Person_12"/>
    <x v="7"/>
  </r>
  <r>
    <n v="610"/>
    <d v="2025-08-11T00:00:00"/>
    <d v="1899-12-30T20:46:00"/>
    <s v="Person/Merchant Payment"/>
    <x v="0"/>
    <n v="2571"/>
    <s v="Person_50"/>
    <x v="7"/>
  </r>
  <r>
    <n v="611"/>
    <d v="2025-08-12T00:00:00"/>
    <d v="1899-12-30T10:33:00"/>
    <s v="Money Received"/>
    <x v="1"/>
    <n v="167"/>
    <s v="Person_2"/>
    <x v="7"/>
  </r>
  <r>
    <n v="612"/>
    <d v="2025-08-12T00:00:00"/>
    <d v="1899-12-30T10:33:00"/>
    <s v="Money Received"/>
    <x v="1"/>
    <n v="263"/>
    <s v="Person_17"/>
    <x v="7"/>
  </r>
  <r>
    <n v="613"/>
    <d v="2025-08-12T00:00:00"/>
    <d v="1899-12-30T10:35:00"/>
    <s v="Money Received"/>
    <x v="1"/>
    <n v="100"/>
    <s v="Person_2"/>
    <x v="7"/>
  </r>
  <r>
    <n v="614"/>
    <d v="2025-08-12T00:00:00"/>
    <d v="1899-12-30T10:39:00"/>
    <s v="Person/Merchant Payment"/>
    <x v="0"/>
    <n v="1000"/>
    <s v="Person_7"/>
    <x v="7"/>
  </r>
  <r>
    <n v="615"/>
    <d v="2025-08-12T00:00:00"/>
    <d v="1899-12-30T12:17:00"/>
    <s v="Money Received"/>
    <x v="1"/>
    <n v="800"/>
    <s v="Person_12"/>
    <x v="7"/>
  </r>
  <r>
    <n v="616"/>
    <d v="2025-08-12T00:00:00"/>
    <d v="1899-12-30T18:19:00"/>
    <s v="Person/Merchant Payment"/>
    <x v="0"/>
    <n v="100"/>
    <s v="Person_45"/>
    <x v="7"/>
  </r>
  <r>
    <n v="617"/>
    <d v="2025-08-13T00:00:00"/>
    <d v="1899-12-30T07:22:00"/>
    <s v="Person/Merchant Payment"/>
    <x v="0"/>
    <n v="10"/>
    <s v="Person_17"/>
    <x v="7"/>
  </r>
  <r>
    <n v="618"/>
    <d v="2025-08-13T00:00:00"/>
    <d v="1899-12-30T19:39:00"/>
    <s v="Person/Merchant Payment"/>
    <x v="0"/>
    <n v="533"/>
    <s v="Person_17"/>
    <x v="7"/>
  </r>
  <r>
    <n v="619"/>
    <d v="2025-08-13T00:00:00"/>
    <d v="1899-12-30T19:52:00"/>
    <s v="Person/Merchant Payment"/>
    <x v="0"/>
    <n v="350"/>
    <s v="Person_135"/>
    <x v="7"/>
  </r>
  <r>
    <n v="620"/>
    <d v="2025-08-13T00:00:00"/>
    <d v="1899-12-30T19:57:00"/>
    <s v="Person/Merchant Payment"/>
    <x v="0"/>
    <n v="40"/>
    <s v="Person_136"/>
    <x v="7"/>
  </r>
  <r>
    <n v="621"/>
    <d v="2025-08-13T00:00:00"/>
    <d v="1899-12-30T20:08:00"/>
    <s v="Money Received"/>
    <x v="1"/>
    <n v="510"/>
    <s v="Person_37"/>
    <x v="7"/>
  </r>
  <r>
    <n v="622"/>
    <d v="2025-08-13T00:00:00"/>
    <d v="1899-12-30T21:10:00"/>
    <s v="Person/Merchant Payment"/>
    <x v="0"/>
    <n v="510"/>
    <s v="Person_45"/>
    <x v="7"/>
  </r>
  <r>
    <n v="623"/>
    <d v="2025-08-14T00:00:00"/>
    <d v="1899-12-30T11:59:00"/>
    <s v="Person/Merchant Payment"/>
    <x v="0"/>
    <n v="1000"/>
    <s v="Person_15"/>
    <x v="7"/>
  </r>
  <r>
    <n v="624"/>
    <d v="2025-08-14T00:00:00"/>
    <d v="1899-12-30T12:14:00"/>
    <s v="Money Received"/>
    <x v="1"/>
    <n v="26000"/>
    <s v="Person_12"/>
    <x v="7"/>
  </r>
  <r>
    <n v="625"/>
    <d v="2025-08-14T00:00:00"/>
    <d v="1899-12-30T12:50:00"/>
    <s v="Person/Merchant Payment"/>
    <x v="0"/>
    <n v="3000"/>
    <s v="Person_7"/>
    <x v="7"/>
  </r>
  <r>
    <n v="626"/>
    <d v="2025-08-14T00:00:00"/>
    <d v="1899-12-30T12:51:00"/>
    <s v="UPI Lite Top-up"/>
    <x v="0"/>
    <n v="500"/>
    <s v="Person_4"/>
    <x v="7"/>
  </r>
  <r>
    <n v="627"/>
    <d v="2025-08-14T00:00:00"/>
    <d v="1899-12-30T20:16:00"/>
    <s v="Person/Merchant Payment"/>
    <x v="0"/>
    <n v="30"/>
    <s v="Person_137"/>
    <x v="7"/>
  </r>
  <r>
    <n v="628"/>
    <d v="2025-08-14T00:00:00"/>
    <d v="1899-12-30T21:26:00"/>
    <s v="Person/Merchant Payment"/>
    <x v="0"/>
    <n v="1000"/>
    <s v="Person_119"/>
    <x v="7"/>
  </r>
  <r>
    <n v="629"/>
    <d v="2025-08-15T00:00:00"/>
    <d v="1899-12-30T11:12:00"/>
    <s v="Person/Merchant Payment"/>
    <x v="0"/>
    <n v="10"/>
    <s v="Person_50"/>
    <x v="7"/>
  </r>
  <r>
    <n v="630"/>
    <d v="2025-08-15T00:00:00"/>
    <d v="1899-12-30T20:44:00"/>
    <s v="Person/Merchant Payment"/>
    <x v="0"/>
    <n v="19"/>
    <s v="Person_138"/>
    <x v="7"/>
  </r>
  <r>
    <n v="631"/>
    <d v="2025-08-15T00:00:00"/>
    <d v="1899-12-30T22:22:00"/>
    <s v="Person/Merchant Payment"/>
    <x v="0"/>
    <n v="230"/>
    <s v="Person_139"/>
    <x v="7"/>
  </r>
  <r>
    <n v="632"/>
    <d v="2025-08-15T00:00:00"/>
    <d v="1899-12-30T22:24:00"/>
    <s v="Person/Merchant Payment"/>
    <x v="0"/>
    <n v="100"/>
    <s v="Person_140"/>
    <x v="7"/>
  </r>
  <r>
    <n v="633"/>
    <d v="2025-08-16T00:00:00"/>
    <d v="1899-12-30T08:53:00"/>
    <s v="Person/Merchant Payment"/>
    <x v="0"/>
    <n v="20"/>
    <s v="Person_50"/>
    <x v="7"/>
  </r>
  <r>
    <n v="634"/>
    <d v="2025-08-16T00:00:00"/>
    <d v="1899-12-30T09:28:00"/>
    <s v="Money Received"/>
    <x v="1"/>
    <n v="350"/>
    <s v="Person_50"/>
    <x v="7"/>
  </r>
  <r>
    <n v="635"/>
    <d v="2025-08-16T00:00:00"/>
    <d v="1899-12-30T10:06:00"/>
    <s v="Person/Merchant Payment"/>
    <x v="0"/>
    <n v="5000"/>
    <s v="Person_50"/>
    <x v="7"/>
  </r>
  <r>
    <n v="636"/>
    <d v="2025-08-16T00:00:00"/>
    <d v="1899-12-30T15:26:00"/>
    <s v="Money Received"/>
    <x v="1"/>
    <n v="14000"/>
    <s v="Person_128"/>
    <x v="7"/>
  </r>
  <r>
    <n v="637"/>
    <d v="2025-08-16T00:00:00"/>
    <d v="1899-12-30T15:30:00"/>
    <s v="Education/Fees"/>
    <x v="0"/>
    <n v="34000"/>
    <s v="Person_5"/>
    <x v="7"/>
  </r>
  <r>
    <n v="638"/>
    <d v="2025-08-16T00:00:00"/>
    <d v="1899-12-30T16:32:00"/>
    <s v="Money Received"/>
    <x v="1"/>
    <n v="14"/>
    <s v="Person_50"/>
    <x v="7"/>
  </r>
  <r>
    <n v="639"/>
    <d v="2025-08-16T00:00:00"/>
    <d v="1899-12-30T21:19:00"/>
    <s v="Money Received"/>
    <x v="1"/>
    <n v="500"/>
    <s v="Person_2"/>
    <x v="7"/>
  </r>
  <r>
    <n v="640"/>
    <d v="2025-08-17T00:00:00"/>
    <d v="1899-12-30T15:38:00"/>
    <s v="Money Received"/>
    <x v="1"/>
    <n v="100"/>
    <s v="Person_141"/>
    <x v="7"/>
  </r>
  <r>
    <n v="641"/>
    <d v="2025-08-17T00:00:00"/>
    <d v="1899-12-30T15:41:00"/>
    <s v="Money Received"/>
    <x v="1"/>
    <n v="220"/>
    <s v="Person_2"/>
    <x v="7"/>
  </r>
  <r>
    <n v="642"/>
    <d v="2025-08-17T00:00:00"/>
    <d v="1899-12-30T17:13:00"/>
    <s v="Person/Merchant Payment"/>
    <x v="0"/>
    <n v="30"/>
    <s v="Person_142"/>
    <x v="7"/>
  </r>
  <r>
    <n v="643"/>
    <d v="2025-08-17T00:00:00"/>
    <d v="1899-12-30T20:06:00"/>
    <s v="Person/Merchant Payment"/>
    <x v="0"/>
    <n v="500"/>
    <s v="Person_119"/>
    <x v="7"/>
  </r>
  <r>
    <n v="644"/>
    <d v="2025-08-17T00:00:00"/>
    <d v="1899-12-30T20:57:00"/>
    <s v="Money Received"/>
    <x v="1"/>
    <n v="2000"/>
    <s v="Person_128"/>
    <x v="7"/>
  </r>
  <r>
    <n v="645"/>
    <d v="2025-08-17T00:00:00"/>
    <d v="1899-12-30T21:14:00"/>
    <s v="Person/Merchant Payment"/>
    <x v="0"/>
    <n v="1000"/>
    <s v="Person_7"/>
    <x v="7"/>
  </r>
  <r>
    <n v="646"/>
    <d v="2025-08-17T00:00:00"/>
    <d v="1899-12-30T23:33:00"/>
    <s v="Money Received"/>
    <x v="1"/>
    <n v="2000"/>
    <s v="Person_15"/>
    <x v="7"/>
  </r>
  <r>
    <n v="647"/>
    <d v="2025-08-17T00:00:00"/>
    <d v="1899-12-30T23:34:00"/>
    <s v="Money Received"/>
    <x v="1"/>
    <n v="4"/>
    <s v="Person_15"/>
    <x v="7"/>
  </r>
  <r>
    <n v="648"/>
    <d v="2025-08-17T00:00:00"/>
    <d v="1899-12-30T23:34:00"/>
    <s v="Person/Merchant Payment"/>
    <x v="0"/>
    <n v="2003.54"/>
    <s v="Person_143"/>
    <x v="7"/>
  </r>
  <r>
    <n v="649"/>
    <d v="2025-08-18T00:00:00"/>
    <d v="1899-12-30T13:53:00"/>
    <s v="Person/Merchant Payment"/>
    <x v="0"/>
    <n v="18000"/>
    <s v="Person_144"/>
    <x v="7"/>
  </r>
  <r>
    <n v="650"/>
    <d v="2025-08-19T00:00:00"/>
    <d v="1899-12-30T14:19:00"/>
    <s v="Money Received"/>
    <x v="1"/>
    <n v="500"/>
    <s v="Person_45"/>
    <x v="7"/>
  </r>
  <r>
    <n v="651"/>
    <d v="2025-08-19T00:00:00"/>
    <d v="1899-12-30T19:05:00"/>
    <s v="Person/Merchant Payment"/>
    <x v="0"/>
    <n v="34"/>
    <s v="Person_145"/>
    <x v="7"/>
  </r>
  <r>
    <n v="652"/>
    <d v="2025-08-19T00:00:00"/>
    <d v="1899-12-30T22:26:00"/>
    <s v="Money Received"/>
    <x v="1"/>
    <n v="20"/>
    <s v="Person_50"/>
    <x v="7"/>
  </r>
  <r>
    <n v="653"/>
    <d v="2025-08-19T00:00:00"/>
    <d v="1899-12-30T22:27:00"/>
    <s v="Person/Merchant Payment"/>
    <x v="0"/>
    <n v="15"/>
    <s v="Person_15"/>
    <x v="7"/>
  </r>
  <r>
    <n v="654"/>
    <d v="2025-08-20T00:00:00"/>
    <d v="1899-12-30T20:56:00"/>
    <s v="Person/Merchant Payment"/>
    <x v="0"/>
    <n v="2000"/>
    <s v="Person_146"/>
    <x v="7"/>
  </r>
  <r>
    <n v="655"/>
    <d v="2025-08-20T00:00:00"/>
    <d v="1899-12-30T20:57:00"/>
    <s v="Person/Merchant Payment"/>
    <x v="0"/>
    <n v="34"/>
    <s v="Person_146"/>
    <x v="7"/>
  </r>
  <r>
    <n v="656"/>
    <d v="2025-08-21T00:00:00"/>
    <d v="1899-12-30T11:18:00"/>
    <s v="Person/Merchant Payment"/>
    <x v="0"/>
    <n v="500"/>
    <s v="Person_76"/>
    <x v="7"/>
  </r>
  <r>
    <n v="657"/>
    <d v="2025-08-21T00:00:00"/>
    <d v="1899-12-30T21:32:00"/>
    <s v="Person/Merchant Payment"/>
    <x v="0"/>
    <n v="10"/>
    <s v="Person_147"/>
    <x v="7"/>
  </r>
  <r>
    <n v="658"/>
    <d v="2025-08-22T00:00:00"/>
    <d v="1899-12-30T10:52:00"/>
    <s v="Money Received"/>
    <x v="1"/>
    <n v="50000"/>
    <s v="Person_148"/>
    <x v="7"/>
  </r>
  <r>
    <n v="659"/>
    <d v="2025-08-22T00:00:00"/>
    <d v="1899-12-30T11:06:00"/>
    <s v="Money Received"/>
    <x v="1"/>
    <n v="30000"/>
    <s v="Person_148"/>
    <x v="7"/>
  </r>
  <r>
    <n v="660"/>
    <d v="2025-08-22T00:00:00"/>
    <d v="1899-12-30T11:54:00"/>
    <s v="Education/Fees"/>
    <x v="0"/>
    <n v="50000"/>
    <s v="Person_5"/>
    <x v="7"/>
  </r>
  <r>
    <n v="661"/>
    <d v="2025-08-22T00:00:00"/>
    <d v="1899-12-30T11:55:00"/>
    <s v="Education/Fees"/>
    <x v="0"/>
    <n v="30000"/>
    <s v="Person_5"/>
    <x v="7"/>
  </r>
  <r>
    <n v="662"/>
    <d v="2025-08-22T00:00:00"/>
    <d v="1899-12-30T17:10:00"/>
    <s v="Money Received"/>
    <x v="1"/>
    <n v="100"/>
    <s v="Person_128"/>
    <x v="7"/>
  </r>
  <r>
    <n v="663"/>
    <d v="2025-08-23T00:00:00"/>
    <d v="1899-12-30T16:39:00"/>
    <s v="Money Received"/>
    <x v="1"/>
    <n v="20000"/>
    <s v="Person_148"/>
    <x v="7"/>
  </r>
  <r>
    <n v="664"/>
    <d v="2025-08-23T00:00:00"/>
    <d v="1899-12-30T18:56:00"/>
    <s v="Person/Merchant Payment"/>
    <x v="0"/>
    <n v="19000"/>
    <s v="Person_76"/>
    <x v="7"/>
  </r>
  <r>
    <n v="665"/>
    <d v="2025-08-23T00:00:00"/>
    <d v="1899-12-30T20:15:00"/>
    <s v="Money Received"/>
    <x v="1"/>
    <n v="2000"/>
    <s v="Person_66"/>
    <x v="7"/>
  </r>
  <r>
    <n v="666"/>
    <d v="2025-08-24T00:00:00"/>
    <d v="1899-12-30T10:10:00"/>
    <s v="UPI Lite Top-up"/>
    <x v="0"/>
    <n v="2000"/>
    <s v="Person_4"/>
    <x v="7"/>
  </r>
  <r>
    <n v="667"/>
    <d v="2025-08-24T00:00:00"/>
    <d v="1899-12-30T11:47:00"/>
    <s v="Person/Merchant Payment"/>
    <x v="0"/>
    <n v="300"/>
    <s v="Person_45"/>
    <x v="7"/>
  </r>
  <r>
    <n v="668"/>
    <d v="2025-08-25T00:00:00"/>
    <d v="1899-12-30T11:22:00"/>
    <s v="Education/Fees"/>
    <x v="0"/>
    <n v="15000"/>
    <s v="Person_5"/>
    <x v="7"/>
  </r>
  <r>
    <n v="669"/>
    <d v="2025-08-25T00:00:00"/>
    <d v="1899-12-30T20:45:00"/>
    <s v="Person/Merchant Payment"/>
    <x v="0"/>
    <n v="45"/>
    <s v="Person_149"/>
    <x v="7"/>
  </r>
  <r>
    <n v="670"/>
    <d v="2025-08-25T00:00:00"/>
    <d v="1899-12-30T20:48:00"/>
    <s v="Money Received"/>
    <x v="1"/>
    <n v="45"/>
    <s v="Person_1"/>
    <x v="7"/>
  </r>
  <r>
    <n v="671"/>
    <d v="2025-08-25T00:00:00"/>
    <d v="1899-12-30T20:55:00"/>
    <s v="Money Received"/>
    <x v="1"/>
    <n v="7000"/>
    <s v="Person_1"/>
    <x v="7"/>
  </r>
  <r>
    <n v="672"/>
    <d v="2025-08-25T00:00:00"/>
    <d v="1899-12-30T21:06:00"/>
    <s v="Person/Merchant Payment"/>
    <x v="0"/>
    <n v="1000"/>
    <s v="Person_76"/>
    <x v="7"/>
  </r>
  <r>
    <n v="673"/>
    <d v="2025-08-26T00:00:00"/>
    <d v="1899-12-30T12:59:00"/>
    <s v="Person/Merchant Payment"/>
    <x v="0"/>
    <n v="500"/>
    <s v="Person_75"/>
    <x v="7"/>
  </r>
  <r>
    <n v="674"/>
    <d v="2025-08-26T00:00:00"/>
    <d v="1899-12-30T19:19:00"/>
    <s v="Person/Merchant Payment"/>
    <x v="0"/>
    <n v="10"/>
    <s v="Person_147"/>
    <x v="7"/>
  </r>
  <r>
    <n v="675"/>
    <d v="2025-08-26T00:00:00"/>
    <d v="1899-12-30T23:39:00"/>
    <s v="Money Received"/>
    <x v="1"/>
    <n v="500"/>
    <s v="Person_75"/>
    <x v="7"/>
  </r>
  <r>
    <n v="676"/>
    <d v="2025-08-27T00:00:00"/>
    <d v="1899-12-30T12:35:00"/>
    <s v="Person/Merchant Payment"/>
    <x v="0"/>
    <n v="500"/>
    <s v="Person_37"/>
    <x v="7"/>
  </r>
  <r>
    <n v="677"/>
    <d v="2025-08-27T00:00:00"/>
    <d v="1899-12-30T20:10:00"/>
    <s v="Money Received"/>
    <x v="1"/>
    <n v="1500"/>
    <s v="Person_150"/>
    <x v="7"/>
  </r>
  <r>
    <n v="678"/>
    <d v="2025-08-29T00:00:00"/>
    <d v="1899-12-30T18:26:00"/>
    <s v="Person/Merchant Payment"/>
    <x v="0"/>
    <n v="60"/>
    <s v="Person_45"/>
    <x v="7"/>
  </r>
  <r>
    <n v="679"/>
    <d v="2025-08-30T00:00:00"/>
    <d v="1899-12-30T12:33:00"/>
    <s v="Person/Merchant Payment"/>
    <x v="0"/>
    <n v="70"/>
    <s v="Person_151"/>
    <x v="7"/>
  </r>
  <r>
    <n v="680"/>
    <d v="2025-08-30T00:00:00"/>
    <d v="1899-12-30T17:40:00"/>
    <s v="Person/Merchant Payment"/>
    <x v="0"/>
    <n v="72"/>
    <s v="Person_152"/>
    <x v="7"/>
  </r>
  <r>
    <n v="681"/>
    <d v="2025-08-30T00:00:00"/>
    <d v="1899-12-30T20:04:00"/>
    <s v="Person/Merchant Payment"/>
    <x v="0"/>
    <n v="20"/>
    <s v="Person_136"/>
    <x v="7"/>
  </r>
  <r>
    <n v="682"/>
    <d v="2025-08-31T00:00:00"/>
    <d v="1899-12-30T17:38:00"/>
    <s v="Person/Merchant Payment"/>
    <x v="0"/>
    <n v="704"/>
    <s v="Person_153"/>
    <x v="7"/>
  </r>
  <r>
    <n v="683"/>
    <d v="2025-08-31T00:00:00"/>
    <d v="1899-12-30T19:49:00"/>
    <s v="Money Received"/>
    <x v="1"/>
    <n v="140"/>
    <s v="Person_2"/>
    <x v="7"/>
  </r>
  <r>
    <n v="684"/>
    <d v="2025-08-31T00:00:00"/>
    <d v="1899-12-30T22:19:00"/>
    <s v="Person/Merchant Payment"/>
    <x v="0"/>
    <n v="28"/>
    <s v="Person_76"/>
    <x v="7"/>
  </r>
  <r>
    <n v="685"/>
    <d v="2025-08-31T00:00:00"/>
    <d v="1899-12-30T22:19:00"/>
    <s v="Person/Merchant Payment"/>
    <x v="0"/>
    <n v="25"/>
    <s v="Person_15"/>
    <x v="7"/>
  </r>
  <r>
    <n v="686"/>
    <d v="2025-08-31T00:00:00"/>
    <d v="1899-12-30T22:23:00"/>
    <s v="Money Received"/>
    <x v="1"/>
    <n v="20"/>
    <s v="Person_11"/>
    <x v="7"/>
  </r>
  <r>
    <n v="687"/>
    <d v="2025-09-01T00:00:00"/>
    <d v="1899-12-30T17:32:00"/>
    <s v="Money Received"/>
    <x v="1"/>
    <n v="450"/>
    <s v="Person_45"/>
    <x v="8"/>
  </r>
  <r>
    <n v="688"/>
    <d v="2025-09-02T00:00:00"/>
    <d v="1899-12-30T09:16:00"/>
    <s v="Money Received"/>
    <x v="1"/>
    <n v="367"/>
    <s v="Person_2"/>
    <x v="8"/>
  </r>
  <r>
    <n v="689"/>
    <d v="2025-09-02T00:00:00"/>
    <d v="1899-12-30T13:50:00"/>
    <s v="Money Received"/>
    <x v="1"/>
    <n v="1000"/>
    <s v="Person_128"/>
    <x v="8"/>
  </r>
  <r>
    <n v="690"/>
    <d v="2025-09-02T00:00:00"/>
    <d v="1899-12-30T13:55:00"/>
    <s v="Money Received"/>
    <x v="1"/>
    <n v="650"/>
    <s v="Person_2"/>
    <x v="8"/>
  </r>
  <r>
    <n v="691"/>
    <d v="2025-09-02T00:00:00"/>
    <d v="1899-12-30T19:18:00"/>
    <s v="Person/Merchant Payment"/>
    <x v="0"/>
    <n v="20"/>
    <s v="Person_138"/>
    <x v="8"/>
  </r>
  <r>
    <n v="692"/>
    <d v="2025-09-03T00:00:00"/>
    <d v="1899-12-30T11:37:00"/>
    <s v="Person/Merchant Payment"/>
    <x v="0"/>
    <n v="8"/>
    <s v="Person_8"/>
    <x v="8"/>
  </r>
  <r>
    <n v="693"/>
    <d v="2025-09-03T00:00:00"/>
    <d v="1899-12-30T19:11:00"/>
    <s v="Person/Merchant Payment"/>
    <x v="0"/>
    <n v="57"/>
    <s v="Person_154"/>
    <x v="8"/>
  </r>
  <r>
    <n v="694"/>
    <d v="2025-09-04T00:00:00"/>
    <d v="1899-12-30T16:59:00"/>
    <s v="UPI Lite Top-up"/>
    <x v="0"/>
    <n v="103"/>
    <s v="Person_4"/>
    <x v="8"/>
  </r>
  <r>
    <n v="695"/>
    <d v="2025-09-04T00:00:00"/>
    <d v="1899-12-30T17:14:00"/>
    <s v="Person/Merchant Payment"/>
    <x v="0"/>
    <n v="50"/>
    <s v="Person_45"/>
    <x v="8"/>
  </r>
  <r>
    <n v="696"/>
    <d v="2025-09-05T00:00:00"/>
    <d v="1899-12-30T15:12:00"/>
    <s v="Money Received"/>
    <x v="1"/>
    <n v="70"/>
    <s v="Person_50"/>
    <x v="8"/>
  </r>
  <r>
    <n v="697"/>
    <d v="2025-09-05T00:00:00"/>
    <d v="1899-12-30T17:00:00"/>
    <s v="Person/Merchant Payment"/>
    <x v="0"/>
    <n v="3"/>
    <s v="Person_154"/>
    <x v="8"/>
  </r>
  <r>
    <n v="698"/>
    <d v="2025-09-05T00:00:00"/>
    <d v="1899-12-30T17:03:00"/>
    <s v="Person/Merchant Payment"/>
    <x v="0"/>
    <n v="20"/>
    <s v="Person_154"/>
    <x v="8"/>
  </r>
  <r>
    <n v="699"/>
    <d v="2025-09-05T00:00:00"/>
    <d v="1899-12-30T18:57:00"/>
    <s v="Person/Merchant Payment"/>
    <x v="0"/>
    <n v="200"/>
    <s v="Person_37"/>
    <x v="8"/>
  </r>
  <r>
    <n v="700"/>
    <d v="2025-09-06T00:00:00"/>
    <d v="1899-12-30T13:14:00"/>
    <s v="Money Received"/>
    <x v="1"/>
    <n v="100"/>
    <s v="Person_128"/>
    <x v="8"/>
  </r>
  <r>
    <n v="701"/>
    <d v="2025-09-06T00:00:00"/>
    <d v="1899-12-30T16:12:00"/>
    <s v="Money Received"/>
    <x v="1"/>
    <n v="3000"/>
    <s v="Person_45"/>
    <x v="8"/>
  </r>
  <r>
    <n v="702"/>
    <d v="2025-09-06T00:00:00"/>
    <d v="1899-12-30T16:13:00"/>
    <s v="Person/Merchant Payment"/>
    <x v="0"/>
    <n v="2500"/>
    <s v="Person_3"/>
    <x v="8"/>
  </r>
  <r>
    <n v="703"/>
    <d v="2025-09-06T00:00:00"/>
    <d v="1899-12-30T18:50:00"/>
    <s v="Person/Merchant Payment"/>
    <x v="0"/>
    <n v="1000"/>
    <s v="Person_84"/>
    <x v="8"/>
  </r>
  <r>
    <n v="704"/>
    <d v="2025-09-07T00:00:00"/>
    <d v="1899-12-30T00:12:00"/>
    <s v="Money Received"/>
    <x v="1"/>
    <n v="81"/>
    <s v="Person_2"/>
    <x v="8"/>
  </r>
  <r>
    <n v="705"/>
    <d v="2025-09-07T00:00:00"/>
    <d v="1899-12-30T12:08:00"/>
    <s v="Money Received"/>
    <x v="1"/>
    <n v="150"/>
    <s v="Person_155"/>
    <x v="8"/>
  </r>
  <r>
    <n v="706"/>
    <d v="2025-09-07T00:00:00"/>
    <d v="1899-12-30T12:39:00"/>
    <s v="Person/Merchant Payment"/>
    <x v="0"/>
    <n v="150"/>
    <s v="Person_7"/>
    <x v="8"/>
  </r>
  <r>
    <n v="707"/>
    <d v="2025-09-07T00:00:00"/>
    <d v="1899-12-30T15:20:00"/>
    <s v="Person/Merchant Payment"/>
    <x v="0"/>
    <n v="1000"/>
    <s v="Person_156"/>
    <x v="8"/>
  </r>
  <r>
    <n v="708"/>
    <d v="2025-09-07T00:00:00"/>
    <d v="1899-12-30T18:40:00"/>
    <s v="Person/Merchant Payment"/>
    <x v="0"/>
    <n v="40"/>
    <s v="Person_15"/>
    <x v="8"/>
  </r>
  <r>
    <n v="709"/>
    <d v="2025-09-07T00:00:00"/>
    <d v="1899-12-30T18:40:00"/>
    <s v="Person/Merchant Payment"/>
    <x v="0"/>
    <n v="2"/>
    <s v="Person_15"/>
    <x v="8"/>
  </r>
  <r>
    <n v="710"/>
    <d v="2025-09-08T00:00:00"/>
    <d v="1899-12-30T16:21:00"/>
    <s v="Person/Merchant Payment"/>
    <x v="0"/>
    <n v="54"/>
    <s v="Person_138"/>
    <x v="8"/>
  </r>
  <r>
    <n v="711"/>
    <d v="2025-09-08T00:00:00"/>
    <d v="1899-12-30T16:42:00"/>
    <s v="Money Received"/>
    <x v="1"/>
    <n v="50"/>
    <s v="Person_157"/>
    <x v="8"/>
  </r>
  <r>
    <n v="712"/>
    <d v="2025-09-08T00:00:00"/>
    <d v="1899-12-30T18:47:00"/>
    <s v="Money Received"/>
    <x v="1"/>
    <n v="10"/>
    <s v="Person_2"/>
    <x v="8"/>
  </r>
  <r>
    <n v="713"/>
    <d v="2025-09-10T00:00:00"/>
    <d v="1899-12-30T18:58:00"/>
    <s v="Money Received"/>
    <x v="1"/>
    <n v="1000"/>
    <s v="Person_84"/>
    <x v="8"/>
  </r>
  <r>
    <n v="714"/>
    <d v="2025-09-10T00:00:00"/>
    <d v="1899-12-30T19:41:00"/>
    <s v="UPI Lite Top-up"/>
    <x v="0"/>
    <n v="1000"/>
    <s v="Person_4"/>
    <x v="8"/>
  </r>
  <r>
    <n v="715"/>
    <d v="2025-09-11T00:00:00"/>
    <d v="1899-12-30T00:32:00"/>
    <s v="Person/Merchant Payment"/>
    <x v="0"/>
    <n v="300"/>
    <s v="Person_6"/>
    <x v="8"/>
  </r>
  <r>
    <n v="716"/>
    <d v="2025-09-11T00:00:00"/>
    <d v="1899-12-30T10:15:00"/>
    <s v="Money Received"/>
    <x v="1"/>
    <n v="700"/>
    <s v="Person_1"/>
    <x v="8"/>
  </r>
  <r>
    <n v="717"/>
    <d v="2025-09-11T00:00:00"/>
    <d v="1899-12-30T11:09:00"/>
    <s v="Person/Merchant Payment"/>
    <x v="0"/>
    <n v="3"/>
    <s v="Person_8"/>
    <x v="8"/>
  </r>
  <r>
    <n v="718"/>
    <d v="2025-09-11T00:00:00"/>
    <d v="1899-12-30T11:14:00"/>
    <s v="Person/Merchant Payment"/>
    <x v="0"/>
    <n v="20"/>
    <s v="Person_8"/>
    <x v="8"/>
  </r>
  <r>
    <n v="719"/>
    <d v="2025-09-12T00:00:00"/>
    <d v="1899-12-30T10:55:00"/>
    <s v="Money Received"/>
    <x v="1"/>
    <n v="2000"/>
    <s v="Person_2"/>
    <x v="8"/>
  </r>
  <r>
    <n v="720"/>
    <d v="2025-09-12T00:00:00"/>
    <d v="1899-12-30T17:52:00"/>
    <s v="Money Received"/>
    <x v="1"/>
    <n v="300"/>
    <s v="Person_45"/>
    <x v="8"/>
  </r>
  <r>
    <n v="721"/>
    <d v="2025-09-12T00:00:00"/>
    <d v="1899-12-30T22:28:00"/>
    <s v="Person/Merchant Payment"/>
    <x v="0"/>
    <n v="500"/>
    <s v="Person_156"/>
    <x v="8"/>
  </r>
  <r>
    <n v="722"/>
    <d v="2025-09-13T00:00:00"/>
    <d v="1899-12-30T14:53:00"/>
    <s v="Person/Merchant Payment"/>
    <x v="0"/>
    <n v="50"/>
    <s v="Person_45"/>
    <x v="8"/>
  </r>
  <r>
    <n v="723"/>
    <d v="2025-09-13T00:00:00"/>
    <d v="1899-12-30T15:52:00"/>
    <s v="Money Received"/>
    <x v="1"/>
    <n v="245"/>
    <s v="Person_2"/>
    <x v="8"/>
  </r>
  <r>
    <n v="724"/>
    <d v="2025-09-13T00:00:00"/>
    <d v="1899-12-30T17:22:00"/>
    <s v="Person/Merchant Payment"/>
    <x v="0"/>
    <n v="150"/>
    <s v="Person_45"/>
    <x v="8"/>
  </r>
  <r>
    <n v="725"/>
    <d v="2025-09-13T00:00:00"/>
    <d v="1899-12-30T23:02:00"/>
    <s v="Person/Merchant Payment"/>
    <x v="0"/>
    <n v="200"/>
    <s v="Person_45"/>
    <x v="8"/>
  </r>
  <r>
    <n v="726"/>
    <d v="2025-09-14T00:00:00"/>
    <d v="1899-12-30T18:49:00"/>
    <s v="Person/Merchant Payment"/>
    <x v="0"/>
    <n v="700"/>
    <s v="Person_12"/>
    <x v="8"/>
  </r>
  <r>
    <n v="727"/>
    <d v="2025-09-15T00:00:00"/>
    <d v="1899-12-30T10:15:00"/>
    <s v="Person/Merchant Payment"/>
    <x v="0"/>
    <n v="1000"/>
    <s v="Person_75"/>
    <x v="8"/>
  </r>
  <r>
    <n v="728"/>
    <d v="2025-09-15T00:00:00"/>
    <d v="1899-12-30T11:16:00"/>
    <s v="Person/Merchant Payment"/>
    <x v="0"/>
    <n v="200"/>
    <s v="Person_6"/>
    <x v="8"/>
  </r>
  <r>
    <n v="729"/>
    <d v="2025-09-15T00:00:00"/>
    <d v="1899-12-30T18:21:00"/>
    <s v="Person/Merchant Payment"/>
    <x v="0"/>
    <n v="20"/>
    <s v="Person_158"/>
    <x v="8"/>
  </r>
  <r>
    <n v="730"/>
    <d v="2025-09-17T00:00:00"/>
    <d v="1899-12-30T12:07:00"/>
    <s v="Money Received"/>
    <x v="1"/>
    <n v="114"/>
    <s v="Person_50"/>
    <x v="8"/>
  </r>
  <r>
    <n v="731"/>
    <d v="2025-09-17T00:00:00"/>
    <d v="1899-12-30T21:57:00"/>
    <s v="Money Received"/>
    <x v="1"/>
    <n v="2500"/>
    <s v="Person_159"/>
    <x v="8"/>
  </r>
  <r>
    <n v="732"/>
    <d v="2025-09-18T00:00:00"/>
    <d v="1899-12-30T21:03:00"/>
    <s v="Money Received"/>
    <x v="1"/>
    <n v="1000"/>
    <s v="Person_15"/>
    <x v="8"/>
  </r>
  <r>
    <n v="733"/>
    <d v="2025-09-19T00:00:00"/>
    <d v="1899-12-30T12:37:00"/>
    <s v="Money Received"/>
    <x v="1"/>
    <n v="14000"/>
    <s v="Person_160"/>
    <x v="8"/>
  </r>
  <r>
    <n v="734"/>
    <d v="2025-09-19T00:00:00"/>
    <d v="1899-12-30T19:48:00"/>
    <s v="Money Received"/>
    <x v="1"/>
    <n v="500"/>
    <s v="Person_45"/>
    <x v="8"/>
  </r>
  <r>
    <n v="735"/>
    <d v="2025-09-19T00:00:00"/>
    <d v="1899-12-30T20:39:00"/>
    <s v="UPI Lite Top-up"/>
    <x v="0"/>
    <n v="500"/>
    <s v="Person_4"/>
    <x v="8"/>
  </r>
  <r>
    <n v="736"/>
    <d v="2025-09-20T00:00:00"/>
    <d v="1899-12-30T09:56:00"/>
    <s v="Person/Merchant Payment"/>
    <x v="0"/>
    <n v="1000"/>
    <s v="Person_161"/>
    <x v="8"/>
  </r>
  <r>
    <n v="737"/>
    <d v="2025-09-21T00:00:00"/>
    <d v="1899-12-30T10:24:00"/>
    <s v="Money Received"/>
    <x v="1"/>
    <n v="4000"/>
    <s v="Person_2"/>
    <x v="8"/>
  </r>
  <r>
    <n v="738"/>
    <d v="2025-09-21T00:00:00"/>
    <d v="1899-12-30T11:40:00"/>
    <s v="Person/Merchant Payment"/>
    <x v="0"/>
    <n v="4000"/>
    <s v="Person_119"/>
    <x v="8"/>
  </r>
  <r>
    <n v="739"/>
    <d v="2025-09-21T00:00:00"/>
    <d v="1899-12-30T21:28:00"/>
    <s v="Person/Merchant Payment"/>
    <x v="0"/>
    <n v="1000"/>
    <s v="Person_162"/>
    <x v="8"/>
  </r>
  <r>
    <n v="740"/>
    <d v="2025-09-21T00:00:00"/>
    <d v="1899-12-30T21:47:00"/>
    <s v="Money Received"/>
    <x v="1"/>
    <n v="1000"/>
    <s v="Person_128"/>
    <x v="8"/>
  </r>
  <r>
    <n v="741"/>
    <d v="2025-09-21T00:00:00"/>
    <d v="1899-12-30T21:48:00"/>
    <s v="UPI Lite Top-up"/>
    <x v="0"/>
    <n v="1000"/>
    <s v="Person_4"/>
    <x v="8"/>
  </r>
  <r>
    <n v="742"/>
    <d v="2025-09-22T00:00:00"/>
    <d v="1899-12-30T09:32:00"/>
    <s v="Money Received"/>
    <x v="1"/>
    <n v="2000"/>
    <s v="Person_128"/>
    <x v="8"/>
  </r>
  <r>
    <n v="743"/>
    <d v="2025-09-22T00:00:00"/>
    <d v="1899-12-30T14:45:00"/>
    <s v="Person/Merchant Payment"/>
    <x v="0"/>
    <n v="16000"/>
    <s v="Person_163"/>
    <x v="8"/>
  </r>
  <r>
    <n v="744"/>
    <d v="2025-09-22T00:00:00"/>
    <d v="1899-12-30T16:33:00"/>
    <s v="Money Received"/>
    <x v="1"/>
    <n v="350"/>
    <s v="Person_45"/>
    <x v="8"/>
  </r>
  <r>
    <n v="745"/>
    <d v="2025-09-22T00:00:00"/>
    <d v="1899-12-30T22:51:00"/>
    <s v="Money Received"/>
    <x v="1"/>
    <n v="2000"/>
    <s v="Person_10"/>
    <x v="8"/>
  </r>
  <r>
    <n v="746"/>
    <d v="2025-09-23T00:00:00"/>
    <d v="1899-12-30T10:30:00"/>
    <s v="Person/Merchant Payment"/>
    <x v="0"/>
    <n v="3000"/>
    <s v="Person_162"/>
    <x v="8"/>
  </r>
  <r>
    <n v="747"/>
    <d v="2025-09-23T00:00:00"/>
    <d v="1899-12-30T10:30:00"/>
    <s v="Person/Merchant Payment"/>
    <x v="0"/>
    <n v="1000"/>
    <s v="Person_12"/>
    <x v="8"/>
  </r>
  <r>
    <n v="748"/>
    <d v="2025-09-23T00:00:00"/>
    <d v="1899-12-30T10:31:00"/>
    <s v="Money Received"/>
    <x v="1"/>
    <n v="1000"/>
    <s v="Person_12"/>
    <x v="8"/>
  </r>
  <r>
    <n v="749"/>
    <d v="2025-09-23T00:00:00"/>
    <d v="1899-12-30T10:32:00"/>
    <s v="Money Received"/>
    <x v="1"/>
    <n v="4000"/>
    <s v="Person_128"/>
    <x v="8"/>
  </r>
  <r>
    <n v="750"/>
    <d v="2025-09-23T00:00:00"/>
    <d v="1899-12-30T13:34:00"/>
    <s v="Money Received"/>
    <x v="1"/>
    <n v="870"/>
    <s v="Person_12"/>
    <x v="8"/>
  </r>
  <r>
    <n v="751"/>
    <d v="2025-09-23T00:00:00"/>
    <d v="1899-12-30T16:50:00"/>
    <s v="Money Received"/>
    <x v="1"/>
    <n v="1000"/>
    <s v="Person_66"/>
    <x v="8"/>
  </r>
  <r>
    <n v="752"/>
    <d v="2025-09-25T00:00:00"/>
    <d v="1899-12-30T08:02:00"/>
    <s v="Money Received"/>
    <x v="1"/>
    <n v="15000"/>
    <s v="Person_150"/>
    <x v="8"/>
  </r>
  <r>
    <n v="753"/>
    <d v="2025-09-25T00:00:00"/>
    <d v="1899-12-30T08:49:00"/>
    <s v="Money Received"/>
    <x v="1"/>
    <n v="14000"/>
    <s v="Person_10"/>
    <x v="8"/>
  </r>
  <r>
    <n v="754"/>
    <d v="2025-09-25T00:00:00"/>
    <d v="1899-12-30T08:50:00"/>
    <s v="Education/Fees"/>
    <x v="0"/>
    <n v="14000"/>
    <s v="Person_5"/>
    <x v="8"/>
  </r>
  <r>
    <n v="755"/>
    <d v="2025-09-25T00:00:00"/>
    <d v="1899-12-30T09:44:00"/>
    <s v="Person/Merchant Payment"/>
    <x v="0"/>
    <n v="1000"/>
    <s v="Person_6"/>
    <x v="8"/>
  </r>
  <r>
    <n v="756"/>
    <d v="2025-09-25T00:00:00"/>
    <d v="1899-12-30T09:44:00"/>
    <s v="Person/Merchant Payment"/>
    <x v="0"/>
    <n v="2000"/>
    <s v="Person_156"/>
    <x v="8"/>
  </r>
  <r>
    <n v="757"/>
    <d v="2025-09-25T00:00:00"/>
    <d v="1899-12-30T22:42:00"/>
    <s v="Money Received"/>
    <x v="1"/>
    <n v="1500"/>
    <s v="Person_10"/>
    <x v="8"/>
  </r>
  <r>
    <n v="758"/>
    <d v="2025-09-26T00:00:00"/>
    <d v="1899-12-30T19:10:00"/>
    <s v="Money Received"/>
    <x v="1"/>
    <n v="1000"/>
    <s v="Person_2"/>
    <x v="8"/>
  </r>
  <r>
    <n v="759"/>
    <d v="2025-09-26T00:00:00"/>
    <d v="1899-12-30T22:09:00"/>
    <s v="Money Received"/>
    <x v="1"/>
    <n v="500"/>
    <s v="Person_37"/>
    <x v="8"/>
  </r>
  <r>
    <n v="760"/>
    <d v="2025-09-27T00:00:00"/>
    <d v="1899-12-30T14:00:00"/>
    <s v="Person/Merchant Payment"/>
    <x v="0"/>
    <n v="44"/>
    <s v="Person_164"/>
    <x v="8"/>
  </r>
  <r>
    <n v="761"/>
    <d v="2025-09-27T00:00:00"/>
    <d v="1899-12-30T14:12:00"/>
    <s v="Person/Merchant Payment"/>
    <x v="0"/>
    <n v="180"/>
    <s v="Person_156"/>
    <x v="8"/>
  </r>
  <r>
    <n v="762"/>
    <d v="2025-09-27T00:00:00"/>
    <d v="1899-12-30T16:37:00"/>
    <s v="Person/Merchant Payment"/>
    <x v="0"/>
    <n v="40"/>
    <s v="Person_165"/>
    <x v="8"/>
  </r>
  <r>
    <n v="763"/>
    <d v="2025-09-27T00:00:00"/>
    <d v="1899-12-30T19:20:00"/>
    <s v="Person/Merchant Payment"/>
    <x v="0"/>
    <n v="40"/>
    <s v="Person_166"/>
    <x v="8"/>
  </r>
  <r>
    <n v="764"/>
    <d v="2025-09-28T00:00:00"/>
    <d v="1899-12-30T11:21:00"/>
    <s v="Person/Merchant Payment"/>
    <x v="0"/>
    <n v="1000"/>
    <s v="Person_161"/>
    <x v="8"/>
  </r>
  <r>
    <n v="765"/>
    <d v="2025-09-28T00:00:00"/>
    <d v="1899-12-30T14:01:00"/>
    <s v="Person/Merchant Payment"/>
    <x v="0"/>
    <n v="500"/>
    <s v="Person_161"/>
    <x v="8"/>
  </r>
  <r>
    <n v="766"/>
    <d v="2025-09-28T00:00:00"/>
    <d v="1899-12-30T17:09:00"/>
    <s v="Person/Merchant Payment"/>
    <x v="0"/>
    <n v="500"/>
    <s v="Person_15"/>
    <x v="8"/>
  </r>
  <r>
    <n v="767"/>
    <d v="2025-09-28T00:00:00"/>
    <d v="1899-12-30T18:37:00"/>
    <s v="Person/Merchant Payment"/>
    <x v="0"/>
    <n v="300"/>
    <s v="Person_156"/>
    <x v="8"/>
  </r>
  <r>
    <n v="768"/>
    <d v="2025-09-28T00:00:00"/>
    <d v="1899-12-30T19:47:00"/>
    <s v="Person/Merchant Payment"/>
    <x v="0"/>
    <n v="500"/>
    <s v="Person_161"/>
    <x v="8"/>
  </r>
  <r>
    <n v="769"/>
    <d v="2025-09-28T00:00:00"/>
    <d v="1899-12-30T20:59:00"/>
    <s v="Money Received"/>
    <x v="1"/>
    <n v="300"/>
    <s v="Person_156"/>
    <x v="8"/>
  </r>
  <r>
    <n v="770"/>
    <d v="2025-09-29T00:00:00"/>
    <d v="1899-12-30T12:45:00"/>
    <s v="Money Received"/>
    <x v="1"/>
    <n v="100"/>
    <s v="Person_3"/>
    <x v="8"/>
  </r>
  <r>
    <n v="771"/>
    <d v="2025-09-29T00:00:00"/>
    <d v="1899-12-30T12:47:00"/>
    <s v="Person/Merchant Payment"/>
    <x v="0"/>
    <n v="48"/>
    <s v="Person_8"/>
    <x v="8"/>
  </r>
  <r>
    <n v="772"/>
    <d v="2025-09-29T00:00:00"/>
    <d v="1899-12-30T12:50:00"/>
    <s v="Person/Merchant Payment"/>
    <x v="0"/>
    <n v="45"/>
    <s v="Person_167"/>
    <x v="8"/>
  </r>
  <r>
    <n v="773"/>
    <d v="2025-09-29T00:00:00"/>
    <d v="1899-12-30T17:57:00"/>
    <s v="Person/Merchant Payment"/>
    <x v="0"/>
    <n v="700"/>
    <s v="Person_76"/>
    <x v="8"/>
  </r>
  <r>
    <n v="774"/>
    <d v="2025-09-29T00:00:00"/>
    <d v="1899-12-30T21:22:00"/>
    <s v="Person/Merchant Payment"/>
    <x v="0"/>
    <n v="10"/>
    <s v="Person_168"/>
    <x v="8"/>
  </r>
  <r>
    <n v="775"/>
    <d v="2025-09-30T00:00:00"/>
    <d v="1899-12-30T17:22:00"/>
    <s v="Person/Merchant Payment"/>
    <x v="0"/>
    <n v="25"/>
    <s v="Person_169"/>
    <x v="8"/>
  </r>
  <r>
    <n v="776"/>
    <d v="2025-10-01T00:00:00"/>
    <d v="1899-12-30T22:32:00"/>
    <s v="Person/Merchant Payment"/>
    <x v="0"/>
    <n v="207"/>
    <s v="Blinkit"/>
    <x v="9"/>
  </r>
  <r>
    <n v="777"/>
    <d v="2025-10-02T00:00:00"/>
    <d v="1899-12-30T01:38:00"/>
    <s v="Person/Merchant Payment"/>
    <x v="0"/>
    <n v="300"/>
    <s v="Person_156"/>
    <x v="9"/>
  </r>
  <r>
    <n v="778"/>
    <d v="2025-10-03T00:00:00"/>
    <d v="1899-12-30T22:31:00"/>
    <s v="Money Received"/>
    <x v="1"/>
    <n v="5000"/>
    <s v="Person_50"/>
    <x v="9"/>
  </r>
  <r>
    <n v="779"/>
    <d v="2025-10-03T00:00:00"/>
    <d v="1899-12-30T22:48:00"/>
    <s v="Person/Merchant Payment"/>
    <x v="0"/>
    <n v="5000"/>
    <s v="Person_156"/>
    <x v="9"/>
  </r>
  <r>
    <n v="780"/>
    <d v="2025-10-04T00:00:00"/>
    <d v="1899-12-30T11:30:00"/>
    <s v="Others"/>
    <x v="0"/>
    <n v="183"/>
    <s v="Person_29"/>
    <x v="9"/>
  </r>
  <r>
    <n v="781"/>
    <d v="2025-10-04T00:00:00"/>
    <d v="1899-12-30T11:53:00"/>
    <s v="Money Received"/>
    <x v="1"/>
    <n v="2000"/>
    <s v="Person_128"/>
    <x v="9"/>
  </r>
  <r>
    <n v="782"/>
    <d v="2025-10-04T00:00:00"/>
    <d v="1899-12-30T12:19:00"/>
    <s v="Person/Merchant Payment"/>
    <x v="0"/>
    <n v="2000"/>
    <s v="Person_156"/>
    <x v="9"/>
  </r>
  <r>
    <n v="783"/>
    <d v="2025-10-06T00:00:00"/>
    <d v="1899-12-30T09:18:00"/>
    <s v="Money Received"/>
    <x v="1"/>
    <n v="15"/>
    <s v="Person_50"/>
    <x v="9"/>
  </r>
  <r>
    <n v="784"/>
    <d v="2025-10-07T00:00:00"/>
    <d v="1899-12-30T18:00:00"/>
    <s v="Person/Merchant Payment"/>
    <x v="0"/>
    <n v="1"/>
    <s v="Person_170"/>
    <x v="9"/>
  </r>
  <r>
    <n v="785"/>
    <d v="2025-10-08T00:00:00"/>
    <d v="1899-12-30T10:59:00"/>
    <s v="Person/Merchant Payment"/>
    <x v="0"/>
    <n v="135"/>
    <s v="Person_171"/>
    <x v="9"/>
  </r>
  <r>
    <n v="786"/>
    <d v="2025-10-08T00:00:00"/>
    <d v="1899-12-30T13:27:00"/>
    <s v="Money Received"/>
    <x v="1"/>
    <n v="350"/>
    <s v="Person_170"/>
    <x v="9"/>
  </r>
  <r>
    <n v="787"/>
    <d v="2025-10-08T00:00:00"/>
    <d v="1899-12-30T14:11:00"/>
    <s v="Person/Merchant Payment"/>
    <x v="0"/>
    <n v="50"/>
    <s v="Person_50"/>
    <x v="9"/>
  </r>
  <r>
    <n v="788"/>
    <d v="2025-10-09T00:00:00"/>
    <d v="1899-12-30T16:07:00"/>
    <s v="Others"/>
    <x v="0"/>
    <n v="109"/>
    <s v="Person_29"/>
    <x v="9"/>
  </r>
  <r>
    <n v="789"/>
    <d v="2025-10-09T00:00:00"/>
    <d v="1899-12-30T16:18:00"/>
    <s v="Others"/>
    <x v="0"/>
    <n v="87"/>
    <s v="Person_29"/>
    <x v="9"/>
  </r>
  <r>
    <n v="790"/>
    <d v="2025-10-11T00:00:00"/>
    <d v="1899-12-30T18:34:00"/>
    <s v="Money Received"/>
    <x v="1"/>
    <n v="270"/>
    <s v="Person_50"/>
    <x v="9"/>
  </r>
  <r>
    <n v="791"/>
    <d v="2025-10-11T00:00:00"/>
    <d v="1899-12-30T18:36:00"/>
    <s v="Person/Merchant Payment"/>
    <x v="0"/>
    <n v="150"/>
    <s v="Person_172"/>
    <x v="9"/>
  </r>
  <r>
    <n v="792"/>
    <d v="2025-10-11T00:00:00"/>
    <d v="1899-12-30T18:39:00"/>
    <s v="Person/Merchant Payment"/>
    <x v="0"/>
    <n v="100"/>
    <s v="Person_76"/>
    <x v="9"/>
  </r>
  <r>
    <n v="793"/>
    <d v="2025-10-11T00:00:00"/>
    <d v="1899-12-30T18:40:00"/>
    <s v="Person/Merchant Payment"/>
    <x v="0"/>
    <n v="50"/>
    <s v="Person_50"/>
    <x v="9"/>
  </r>
  <r>
    <n v="794"/>
    <d v="2025-10-11T00:00:00"/>
    <d v="1899-12-30T18:42:00"/>
    <s v="Person/Merchant Payment"/>
    <x v="0"/>
    <n v="85"/>
    <s v="Person_15"/>
    <x v="9"/>
  </r>
  <r>
    <n v="795"/>
    <d v="2025-10-12T00:00:00"/>
    <d v="1899-12-30T13:25:00"/>
    <s v="Others"/>
    <x v="1"/>
    <n v="183"/>
    <s v="Person_117"/>
    <x v="9"/>
  </r>
  <r>
    <n v="796"/>
    <d v="2025-10-12T00:00:00"/>
    <d v="1899-12-30T13:25:00"/>
    <s v="Others"/>
    <x v="1"/>
    <n v="183"/>
    <s v="Person_118"/>
    <x v="9"/>
  </r>
  <r>
    <n v="797"/>
    <d v="2025-10-12T00:00:00"/>
    <d v="1899-12-30T13:32:00"/>
    <s v="Others"/>
    <x v="0"/>
    <n v="183"/>
    <s v="Person_29"/>
    <x v="9"/>
  </r>
  <r>
    <n v="798"/>
    <d v="2025-10-13T00:00:00"/>
    <d v="1899-12-30T11:30:00"/>
    <s v="Person/Merchant Payment"/>
    <x v="0"/>
    <n v="19"/>
    <s v="Person_138"/>
    <x v="9"/>
  </r>
  <r>
    <n v="799"/>
    <d v="2025-10-15T00:00:00"/>
    <d v="1899-12-30T10:39:00"/>
    <s v="Person/Merchant Payment"/>
    <x v="0"/>
    <n v="165"/>
    <s v="Person_171"/>
    <x v="9"/>
  </r>
  <r>
    <n v="800"/>
    <d v="2025-10-15T00:00:00"/>
    <d v="1899-12-30T22:01:00"/>
    <s v="Money Received"/>
    <x v="1"/>
    <n v="2200"/>
    <s v="Person_173"/>
    <x v="9"/>
  </r>
  <r>
    <n v="801"/>
    <d v="2025-10-16T00:00:00"/>
    <d v="1899-12-30T10:39:00"/>
    <s v="Money Received"/>
    <x v="1"/>
    <n v="2500"/>
    <s v="Person_10"/>
    <x v="9"/>
  </r>
  <r>
    <n v="802"/>
    <d v="2025-10-16T00:00:00"/>
    <d v="1899-12-30T10:45:00"/>
    <s v="Money Received"/>
    <x v="1"/>
    <n v="700"/>
    <s v="Person_1"/>
    <x v="9"/>
  </r>
  <r>
    <n v="803"/>
    <d v="2025-10-16T00:00:00"/>
    <d v="1899-12-30T10:47:00"/>
    <s v="Person/Merchant Payment"/>
    <x v="0"/>
    <n v="2500"/>
    <s v="Person_156"/>
    <x v="9"/>
  </r>
  <r>
    <n v="804"/>
    <d v="2025-10-16T00:00:00"/>
    <d v="1899-12-30T11:26:00"/>
    <s v="Person/Merchant Payment"/>
    <x v="0"/>
    <n v="27"/>
    <s v="Person_8"/>
    <x v="9"/>
  </r>
  <r>
    <n v="805"/>
    <d v="2025-10-16T00:00:00"/>
    <d v="1899-12-30T19:43:00"/>
    <s v="Others"/>
    <x v="1"/>
    <n v="87"/>
    <s v="Person_117"/>
    <x v="9"/>
  </r>
  <r>
    <n v="806"/>
    <d v="2025-10-16T00:00:00"/>
    <d v="1899-12-30T19:43:00"/>
    <s v="Others"/>
    <x v="1"/>
    <n v="87"/>
    <s v="Person_118"/>
    <x v="9"/>
  </r>
  <r>
    <n v="807"/>
    <d v="2025-10-16T00:00:00"/>
    <d v="1899-12-30T20:30:00"/>
    <s v="Food &amp; Dining"/>
    <x v="0"/>
    <n v="65"/>
    <s v="Person_174"/>
    <x v="9"/>
  </r>
  <r>
    <n v="808"/>
    <d v="2025-10-17T00:00:00"/>
    <d v="1899-12-30T13:19:00"/>
    <s v="Money Received"/>
    <x v="1"/>
    <n v="65"/>
    <s v="Person_2"/>
    <x v="9"/>
  </r>
  <r>
    <n v="809"/>
    <d v="2025-10-17T00:00:00"/>
    <d v="1899-12-30T14:05:00"/>
    <s v="Person/Merchant Payment"/>
    <x v="0"/>
    <n v="222"/>
    <s v="Person_175"/>
    <x v="9"/>
  </r>
  <r>
    <n v="810"/>
    <d v="2025-10-17T00:00:00"/>
    <d v="1899-12-30T17:18:00"/>
    <s v="Person/Merchant Payment"/>
    <x v="0"/>
    <n v="2500"/>
    <s v="Person_156"/>
    <x v="9"/>
  </r>
  <r>
    <n v="811"/>
    <d v="2025-10-19T00:00:00"/>
    <d v="1899-12-30T09:18:00"/>
    <s v="Money Received"/>
    <x v="1"/>
    <n v="2500"/>
    <s v="Person_156"/>
    <x v="9"/>
  </r>
  <r>
    <n v="812"/>
    <d v="2025-10-19T00:00:00"/>
    <d v="1899-12-30T16:38:00"/>
    <s v="Person/Merchant Payment"/>
    <x v="0"/>
    <n v="525"/>
    <s v="Person_119"/>
    <x v="9"/>
  </r>
  <r>
    <n v="813"/>
    <d v="2025-10-19T00:00:00"/>
    <d v="1899-12-30T18:41:00"/>
    <s v="Person/Merchant Payment"/>
    <x v="0"/>
    <n v="2000"/>
    <s v="Person_156"/>
    <x v="9"/>
  </r>
  <r>
    <n v="814"/>
    <d v="2025-10-20T00:00:00"/>
    <d v="1899-12-30T10:05:00"/>
    <s v="Money Received"/>
    <x v="1"/>
    <n v="1300"/>
    <s v="Person_1"/>
    <x v="9"/>
  </r>
  <r>
    <n v="815"/>
    <d v="2025-10-20T00:00:00"/>
    <d v="1899-12-30T10:05:00"/>
    <s v="Person/Merchant Payment"/>
    <x v="0"/>
    <n v="1300"/>
    <s v="Person_156"/>
    <x v="9"/>
  </r>
  <r>
    <n v="816"/>
    <d v="2025-10-20T00:00:00"/>
    <d v="1899-12-30T17:57:00"/>
    <s v="Person/Merchant Payment"/>
    <x v="0"/>
    <n v="99"/>
    <s v="Person_176"/>
    <x v="9"/>
  </r>
  <r>
    <n v="817"/>
    <d v="2025-10-21T00:00:00"/>
    <d v="1899-12-30T18:11:00"/>
    <s v="Person/Merchant Payment"/>
    <x v="0"/>
    <n v="40"/>
    <s v="Person_12"/>
    <x v="9"/>
  </r>
  <r>
    <n v="818"/>
    <d v="2025-10-22T00:00:00"/>
    <d v="1899-12-30T13:23:00"/>
    <s v="Money Received"/>
    <x v="1"/>
    <n v="40"/>
    <s v="Person_12"/>
    <x v="9"/>
  </r>
  <r>
    <n v="819"/>
    <d v="2025-10-22T00:00:00"/>
    <d v="1899-12-30T14:59:00"/>
    <s v="Others"/>
    <x v="0"/>
    <n v="106"/>
    <s v="Person_29"/>
    <x v="9"/>
  </r>
  <r>
    <n v="820"/>
    <d v="2025-10-22T00:00:00"/>
    <d v="1899-12-30T15:25:00"/>
    <s v="Money Received"/>
    <x v="1"/>
    <n v="11000"/>
    <s v="Person_101"/>
    <x v="9"/>
  </r>
  <r>
    <n v="821"/>
    <d v="2025-10-22T00:00:00"/>
    <d v="1899-12-30T15:25:00"/>
    <s v="Person/Merchant Payment"/>
    <x v="0"/>
    <n v="11000"/>
    <s v="Person_119"/>
    <x v="9"/>
  </r>
  <r>
    <n v="822"/>
    <d v="2025-10-22T00:00:00"/>
    <d v="1899-12-30T15:30:00"/>
    <s v="Money Received"/>
    <x v="1"/>
    <n v="11000"/>
    <s v="Person_2"/>
    <x v="9"/>
  </r>
  <r>
    <n v="823"/>
    <d v="2025-10-23T00:00:00"/>
    <d v="1899-12-30T12:01:00"/>
    <s v="Person/Merchant Payment"/>
    <x v="0"/>
    <n v="11000"/>
    <s v="Person_101"/>
    <x v="9"/>
  </r>
  <r>
    <n v="824"/>
    <d v="2025-10-24T00:00:00"/>
    <d v="1899-12-30T10:24:00"/>
    <s v="Person/Merchant Payment"/>
    <x v="0"/>
    <n v="25"/>
    <s v="Person_177"/>
    <x v="9"/>
  </r>
  <r>
    <n v="825"/>
    <d v="2025-10-24T00:00:00"/>
    <d v="1899-12-30T11:05:00"/>
    <s v="Person/Merchant Payment"/>
    <x v="0"/>
    <n v="60"/>
    <s v="Person_178"/>
    <x v="9"/>
  </r>
  <r>
    <n v="826"/>
    <d v="2025-10-24T00:00:00"/>
    <d v="1899-12-30T12:51:00"/>
    <s v="Person/Merchant Payment"/>
    <x v="0"/>
    <n v="59"/>
    <s v="Person_179"/>
    <x v="9"/>
  </r>
  <r>
    <n v="827"/>
    <d v="2025-10-24T00:00:00"/>
    <d v="1899-12-30T16:27:00"/>
    <s v="Money Received"/>
    <x v="1"/>
    <n v="600"/>
    <s v="Person_101"/>
    <x v="9"/>
  </r>
  <r>
    <n v="828"/>
    <d v="2025-10-24T00:00:00"/>
    <d v="1899-12-30T17:00:00"/>
    <s v="Money Received"/>
    <x v="1"/>
    <n v="900"/>
    <s v="Person_2"/>
    <x v="9"/>
  </r>
  <r>
    <n v="829"/>
    <d v="2025-10-24T00:00:00"/>
    <d v="1899-12-30T21:16:00"/>
    <s v="Person/Merchant Payment"/>
    <x v="0"/>
    <n v="300"/>
    <s v="Person_156"/>
    <x v="9"/>
  </r>
  <r>
    <n v="830"/>
    <d v="2025-10-25T00:00:00"/>
    <d v="1899-12-30T18:46:00"/>
    <s v="Person/Merchant Payment"/>
    <x v="0"/>
    <n v="10"/>
    <s v="Person_180"/>
    <x v="9"/>
  </r>
  <r>
    <n v="831"/>
    <d v="2025-10-26T00:00:00"/>
    <d v="1899-12-30T00:38:00"/>
    <s v="Money Received"/>
    <x v="1"/>
    <n v="61.74"/>
    <s v="Person_181"/>
    <x v="9"/>
  </r>
  <r>
    <n v="832"/>
    <d v="2025-10-26T00:00:00"/>
    <d v="1899-12-30T00:39:00"/>
    <s v="UPI Lite Top-up"/>
    <x v="0"/>
    <n v="61"/>
    <s v="Person_4"/>
    <x v="9"/>
  </r>
  <r>
    <n v="833"/>
    <d v="2025-10-26T00:00:00"/>
    <d v="1899-12-30T22:10:00"/>
    <s v="Money Received"/>
    <x v="1"/>
    <n v="271.62"/>
    <s v="Person_181"/>
    <x v="9"/>
  </r>
  <r>
    <n v="834"/>
    <d v="2025-10-26T00:00:00"/>
    <d v="1899-12-30T22:11:00"/>
    <s v="UPI Lite Top-up"/>
    <x v="0"/>
    <n v="271"/>
    <s v="Person_4"/>
    <x v="9"/>
  </r>
  <r>
    <n v="835"/>
    <d v="2025-10-27T00:00:00"/>
    <d v="1899-12-30T00:48:00"/>
    <s v="Money Received"/>
    <x v="1"/>
    <n v="1000"/>
    <s v="Person_2"/>
    <x v="9"/>
  </r>
  <r>
    <n v="836"/>
    <d v="2025-10-27T00:00:00"/>
    <d v="1899-12-30T00:50:00"/>
    <s v="Money Received"/>
    <x v="1"/>
    <n v="500"/>
    <s v="Person_2"/>
    <x v="9"/>
  </r>
  <r>
    <n v="837"/>
    <d v="2025-10-27T00:00:00"/>
    <d v="1899-12-30T08:59:00"/>
    <s v="Person/Merchant Payment"/>
    <x v="0"/>
    <n v="9"/>
    <s v="Person_138"/>
    <x v="9"/>
  </r>
  <r>
    <n v="838"/>
    <d v="2025-10-27T00:00:00"/>
    <d v="1899-12-30T15:37:00"/>
    <s v="Money Received"/>
    <x v="1"/>
    <n v="400"/>
    <s v="Person_50"/>
    <x v="9"/>
  </r>
  <r>
    <n v="839"/>
    <d v="2025-10-27T00:00:00"/>
    <d v="1899-12-30T18:05:00"/>
    <s v="Money Received"/>
    <x v="1"/>
    <n v="1000"/>
    <s v="Person_2"/>
    <x v="9"/>
  </r>
  <r>
    <n v="840"/>
    <d v="2025-10-27T00:00:00"/>
    <d v="1899-12-30T19:56:00"/>
    <s v="Person/Merchant Payment"/>
    <x v="0"/>
    <n v="500"/>
    <s v="Person_156"/>
    <x v="9"/>
  </r>
  <r>
    <n v="841"/>
    <d v="2025-10-27T00:00:00"/>
    <d v="1899-12-30T20:36:00"/>
    <s v="Person/Merchant Payment"/>
    <x v="0"/>
    <n v="1000"/>
    <s v="Person_182"/>
    <x v="9"/>
  </r>
  <r>
    <n v="842"/>
    <d v="2025-10-27T00:00:00"/>
    <d v="1899-12-30T23:26:00"/>
    <s v="Person/Merchant Payment"/>
    <x v="0"/>
    <n v="3500"/>
    <s v="Person_156"/>
    <x v="9"/>
  </r>
  <r>
    <n v="843"/>
    <d v="2025-10-27T00:00:00"/>
    <d v="1899-12-30T23:26:00"/>
    <s v="Person/Merchant Payment"/>
    <x v="0"/>
    <n v="1500"/>
    <s v="Person_156"/>
    <x v="9"/>
  </r>
  <r>
    <n v="844"/>
    <d v="2025-10-28T00:00:00"/>
    <d v="1899-12-30T00:06:00"/>
    <s v="Money Received"/>
    <x v="1"/>
    <n v="345.87"/>
    <s v="Person_181"/>
    <x v="9"/>
  </r>
  <r>
    <n v="845"/>
    <d v="2025-10-28T00:00:00"/>
    <d v="1899-12-30T00:21:00"/>
    <s v="UPI Lite Top-up"/>
    <x v="0"/>
    <n v="345"/>
    <s v="Person_4"/>
    <x v="9"/>
  </r>
  <r>
    <n v="846"/>
    <d v="2025-10-28T00:00:00"/>
    <d v="1899-12-30T01:44:00"/>
    <s v="Person/Merchant Payment"/>
    <x v="0"/>
    <n v="20"/>
    <s v="Person_183"/>
    <x v="9"/>
  </r>
  <r>
    <n v="847"/>
    <d v="2025-10-28T00:00:00"/>
    <d v="1899-12-30T12:07:00"/>
    <s v="Money Received"/>
    <x v="1"/>
    <n v="1000"/>
    <s v="Person_101"/>
    <x v="9"/>
  </r>
  <r>
    <n v="848"/>
    <d v="2025-10-28T00:00:00"/>
    <d v="1899-12-30T12:29:00"/>
    <s v="Money Received"/>
    <x v="1"/>
    <n v="1000"/>
    <s v="Person_184"/>
    <x v="9"/>
  </r>
  <r>
    <n v="849"/>
    <d v="2025-10-28T00:00:00"/>
    <d v="1899-12-30T15:44:00"/>
    <s v="Person/Merchant Payment"/>
    <x v="0"/>
    <n v="800"/>
    <s v="Person_185"/>
    <x v="9"/>
  </r>
  <r>
    <n v="850"/>
    <d v="2025-10-29T00:00:00"/>
    <d v="1899-12-30T08:48:00"/>
    <s v="Person/Merchant Payment"/>
    <x v="0"/>
    <n v="200"/>
    <s v="Person_186"/>
    <x v="9"/>
  </r>
  <r>
    <n v="851"/>
    <d v="2025-10-29T00:00:00"/>
    <d v="1899-12-30T13:55:00"/>
    <s v="Person/Merchant Payment"/>
    <x v="0"/>
    <n v="166"/>
    <s v="Person_17"/>
    <x v="9"/>
  </r>
  <r>
    <n v="852"/>
    <d v="2025-10-29T00:00:00"/>
    <d v="1899-12-30T18:54:00"/>
    <s v="Person/Merchant Payment"/>
    <x v="0"/>
    <n v="100"/>
    <s v="Person_156"/>
    <x v="9"/>
  </r>
  <r>
    <n v="853"/>
    <d v="2025-10-30T00:00:00"/>
    <d v="1899-12-30T09:42:00"/>
    <s v="Money Received"/>
    <x v="1"/>
    <n v="411.21"/>
    <s v="Person_187"/>
    <x v="9"/>
  </r>
  <r>
    <n v="854"/>
    <d v="2025-10-30T00:00:00"/>
    <d v="1899-12-30T11:54:00"/>
    <s v="UPI Lite Top-up"/>
    <x v="0"/>
    <n v="411"/>
    <s v="Person_4"/>
    <x v="9"/>
  </r>
  <r>
    <n v="855"/>
    <d v="2025-10-30T00:00:00"/>
    <d v="1899-12-30T12:33:00"/>
    <s v="Person/Merchant Payment"/>
    <x v="0"/>
    <n v="400"/>
    <s v="Person_188"/>
    <x v="9"/>
  </r>
  <r>
    <n v="856"/>
    <d v="2025-10-30T00:00:00"/>
    <d v="1899-12-30T12:42:00"/>
    <s v="Person/Merchant Payment"/>
    <x v="0"/>
    <n v="160"/>
    <s v="Person_189"/>
    <x v="9"/>
  </r>
  <r>
    <n v="857"/>
    <d v="2025-10-30T00:00:00"/>
    <d v="1899-12-30T14:40:00"/>
    <s v="Person/Merchant Payment"/>
    <x v="0"/>
    <n v="1500"/>
    <s v="Person_156"/>
    <x v="9"/>
  </r>
  <r>
    <n v="858"/>
    <d v="2025-10-30T00:00:00"/>
    <d v="1899-12-30T15:46:00"/>
    <s v="Money Received"/>
    <x v="1"/>
    <n v="350"/>
    <s v="Person_17"/>
    <x v="9"/>
  </r>
  <r>
    <n v="859"/>
    <d v="2025-10-30T00:00:00"/>
    <d v="1899-12-30T15:48:00"/>
    <s v="Person/Merchant Payment"/>
    <x v="0"/>
    <n v="200"/>
    <s v="Person_190"/>
    <x v="9"/>
  </r>
  <r>
    <n v="860"/>
    <d v="2025-10-30T00:00:00"/>
    <d v="1899-12-30T16:07:00"/>
    <s v="UPI Lite Top-up"/>
    <x v="0"/>
    <n v="150"/>
    <s v="Person_4"/>
    <x v="9"/>
  </r>
  <r>
    <n v="861"/>
    <d v="2025-10-31T00:00:00"/>
    <d v="1899-12-30T20:02:00"/>
    <s v="Person/Merchant Payment"/>
    <x v="0"/>
    <n v="70"/>
    <s v="Person_180"/>
    <x v="9"/>
  </r>
  <r>
    <n v="862"/>
    <d v="2025-11-01T00:00:00"/>
    <d v="1899-12-30T00:07:00"/>
    <s v="Money Received"/>
    <x v="1"/>
    <n v="1500"/>
    <s v="Person_182"/>
    <x v="10"/>
  </r>
  <r>
    <n v="863"/>
    <d v="2025-11-01T00:00:00"/>
    <d v="1899-12-30T00:13:00"/>
    <s v="Person/Merchant Payment"/>
    <x v="0"/>
    <n v="1500"/>
    <s v="Person_50"/>
    <x v="10"/>
  </r>
  <r>
    <n v="864"/>
    <d v="2025-11-01T00:00:00"/>
    <d v="1899-12-30T00:16:00"/>
    <s v="Person/Merchant Payment"/>
    <x v="0"/>
    <n v="500"/>
    <s v="Person_50"/>
    <x v="10"/>
  </r>
  <r>
    <n v="865"/>
    <d v="2025-11-01T00:00:00"/>
    <d v="1899-12-30T19:24:00"/>
    <s v="Food &amp; Dining"/>
    <x v="0"/>
    <n v="450"/>
    <s v="Person_174"/>
    <x v="10"/>
  </r>
  <r>
    <n v="866"/>
    <d v="2025-11-01T00:00:00"/>
    <d v="1899-12-30T19:24:00"/>
    <s v="Person/Merchant Payment"/>
    <x v="0"/>
    <n v="300"/>
    <s v="Person_6"/>
    <x v="10"/>
  </r>
  <r>
    <n v="867"/>
    <d v="2025-11-01T00:00:00"/>
    <d v="1899-12-30T20:58:00"/>
    <s v="Person/Merchant Payment"/>
    <x v="0"/>
    <n v="14"/>
    <s v="Person_138"/>
    <x v="10"/>
  </r>
  <r>
    <n v="868"/>
    <d v="2025-11-01T00:00:00"/>
    <d v="1899-12-30T22:38:00"/>
    <s v="Money Received"/>
    <x v="1"/>
    <n v="500"/>
    <s v="Person_191"/>
    <x v="10"/>
  </r>
  <r>
    <n v="869"/>
    <d v="2025-11-02T00:00:00"/>
    <d v="1899-12-30T12:43:00"/>
    <s v="Person/Merchant Payment"/>
    <x v="0"/>
    <n v="100"/>
    <s v="Person_17"/>
    <x v="10"/>
  </r>
  <r>
    <n v="870"/>
    <d v="2025-11-02T00:00:00"/>
    <d v="1899-12-30T12:44:00"/>
    <s v="Money Received"/>
    <x v="1"/>
    <n v="100"/>
    <s v="Person_17"/>
    <x v="10"/>
  </r>
  <r>
    <n v="871"/>
    <d v="2025-11-02T00:00:00"/>
    <d v="1899-12-30T13:38:00"/>
    <s v="Others"/>
    <x v="1"/>
    <n v="183"/>
    <s v="Person_117"/>
    <x v="10"/>
  </r>
  <r>
    <n v="872"/>
    <d v="2025-11-02T00:00:00"/>
    <d v="1899-12-30T13:38:00"/>
    <s v="Others"/>
    <x v="1"/>
    <n v="183"/>
    <s v="Person_118"/>
    <x v="10"/>
  </r>
  <r>
    <n v="873"/>
    <d v="2025-11-03T00:00:00"/>
    <d v="1899-12-30T20:48:00"/>
    <s v="Food &amp; Dining"/>
    <x v="0"/>
    <n v="15"/>
    <s v="Person_174"/>
    <x v="10"/>
  </r>
  <r>
    <n v="874"/>
    <d v="2025-11-04T00:00:00"/>
    <d v="1899-12-30T07:41:00"/>
    <s v="Money Received"/>
    <x v="1"/>
    <n v="500"/>
    <s v="Person_186"/>
    <x v="10"/>
  </r>
  <r>
    <n v="875"/>
    <d v="2025-11-04T00:00:00"/>
    <d v="1899-12-30T08:40:00"/>
    <s v="Person/Merchant Payment"/>
    <x v="0"/>
    <n v="500"/>
    <s v="Person_186"/>
    <x v="10"/>
  </r>
  <r>
    <n v="876"/>
    <d v="2025-11-04T00:00:00"/>
    <d v="1899-12-30T09:10:00"/>
    <s v="Money Received"/>
    <x v="1"/>
    <n v="500"/>
    <s v="Person_186"/>
    <x v="10"/>
  </r>
  <r>
    <n v="877"/>
    <d v="2025-11-04T00:00:00"/>
    <d v="1899-12-30T09:30:00"/>
    <s v="Person/Merchant Payment"/>
    <x v="0"/>
    <n v="500"/>
    <s v="Person_50"/>
    <x v="10"/>
  </r>
  <r>
    <n v="878"/>
    <d v="2025-11-04T00:00:00"/>
    <d v="1899-12-30T09:55:00"/>
    <s v="Person/Merchant Payment"/>
    <x v="0"/>
    <n v="12"/>
    <s v="Person_8"/>
    <x v="10"/>
  </r>
  <r>
    <n v="879"/>
    <d v="2025-11-04T00:00:00"/>
    <d v="1899-12-30T10:19:00"/>
    <s v="Person/Merchant Payment"/>
    <x v="0"/>
    <n v="2"/>
    <s v="Person_8"/>
    <x v="10"/>
  </r>
  <r>
    <n v="880"/>
    <d v="2025-11-05T00:00:00"/>
    <d v="1899-12-30T00:55:00"/>
    <s v="Money Received"/>
    <x v="1"/>
    <n v="501.3"/>
    <s v="Person_181"/>
    <x v="10"/>
  </r>
  <r>
    <n v="881"/>
    <d v="2025-11-05T00:00:00"/>
    <d v="1899-12-30T12:27:00"/>
    <s v="Money Received"/>
    <x v="1"/>
    <n v="1000"/>
    <s v="Person_182"/>
    <x v="10"/>
  </r>
  <r>
    <n v="882"/>
    <d v="2025-11-05T00:00:00"/>
    <d v="1899-12-30T13:36:00"/>
    <s v="Money Received"/>
    <x v="1"/>
    <n v="200"/>
    <s v="Person_2"/>
    <x v="10"/>
  </r>
  <r>
    <n v="883"/>
    <d v="2025-11-05T00:00:00"/>
    <d v="1899-12-30T13:38:00"/>
    <s v="Person/Merchant Payment"/>
    <x v="0"/>
    <n v="1183.06"/>
    <s v="Person_192"/>
    <x v="10"/>
  </r>
  <r>
    <n v="884"/>
    <d v="2025-11-05T00:00:00"/>
    <d v="1899-12-30T14:20:00"/>
    <s v="Money Received"/>
    <x v="1"/>
    <n v="985"/>
    <s v="Person_2"/>
    <x v="10"/>
  </r>
  <r>
    <n v="885"/>
    <d v="2025-11-05T00:00:00"/>
    <d v="1899-12-30T14:20:00"/>
    <s v="Person/Merchant Payment"/>
    <x v="0"/>
    <n v="1000"/>
    <s v="Person_182"/>
    <x v="10"/>
  </r>
  <r>
    <n v="886"/>
    <d v="2025-11-05T00:00:00"/>
    <d v="1899-12-30T15:05:00"/>
    <s v="Person/Merchant Payment"/>
    <x v="0"/>
    <n v="25"/>
    <s v="Person_17"/>
    <x v="10"/>
  </r>
  <r>
    <n v="887"/>
    <d v="2025-11-07T00:00:00"/>
    <d v="1899-12-30T13:50:00"/>
    <s v="Money Received"/>
    <x v="1"/>
    <n v="2000"/>
    <s v="Person_37"/>
    <x v="10"/>
  </r>
  <r>
    <n v="888"/>
    <d v="2025-11-07T00:00:00"/>
    <d v="1899-12-30T13:54:00"/>
    <s v="Person/Merchant Payment"/>
    <x v="0"/>
    <n v="2000"/>
    <s v="Person_193"/>
    <x v="10"/>
  </r>
  <r>
    <n v="889"/>
    <d v="2025-11-08T00:00:00"/>
    <d v="1899-12-30T19:40:00"/>
    <s v="Person/Merchant Payment"/>
    <x v="0"/>
    <n v="500"/>
    <s v="Person_12"/>
    <x v="10"/>
  </r>
  <r>
    <n v="890"/>
    <d v="2025-11-09T00:00:00"/>
    <d v="1899-12-30T14:38:00"/>
    <s v="Money Received"/>
    <x v="1"/>
    <n v="2000"/>
    <s v="Person_45"/>
    <x v="10"/>
  </r>
  <r>
    <n v="891"/>
    <d v="2025-11-09T00:00:00"/>
    <d v="1899-12-30T15:21:00"/>
    <s v="Person/Merchant Payment"/>
    <x v="0"/>
    <n v="2000"/>
    <s v="Person_193"/>
    <x v="10"/>
  </r>
  <r>
    <n v="892"/>
    <d v="2025-11-09T00:00:00"/>
    <d v="1899-12-30T16:04:00"/>
    <s v="Money Received"/>
    <x v="1"/>
    <n v="500"/>
    <s v="Person_45"/>
    <x v="10"/>
  </r>
  <r>
    <n v="893"/>
    <d v="2025-11-09T00:00:00"/>
    <d v="1899-12-30T16:27:00"/>
    <s v="Person/Merchant Payment"/>
    <x v="0"/>
    <n v="500"/>
    <s v="Person_172"/>
    <x v="10"/>
  </r>
  <r>
    <n v="894"/>
    <d v="2025-11-09T00:00:00"/>
    <d v="1899-12-30T20:06:00"/>
    <s v="Money Received"/>
    <x v="1"/>
    <n v="150"/>
    <s v="Person_155"/>
    <x v="10"/>
  </r>
  <r>
    <n v="895"/>
    <d v="2025-11-09T00:00:00"/>
    <d v="1899-12-30T20:55:00"/>
    <s v="Person/Merchant Payment"/>
    <x v="0"/>
    <n v="150"/>
    <s v="Person_172"/>
    <x v="10"/>
  </r>
  <r>
    <n v="896"/>
    <d v="2025-11-10T00:00:00"/>
    <d v="1899-12-30T13:30:00"/>
    <s v="Person/Merchant Payment"/>
    <x v="0"/>
    <n v="50"/>
    <s v="Person_194"/>
    <x v="10"/>
  </r>
  <r>
    <n v="897"/>
    <d v="2025-11-10T00:00:00"/>
    <d v="1899-12-30T13:42:00"/>
    <s v="Money Received"/>
    <x v="1"/>
    <n v="1017.55"/>
    <s v="Person_187"/>
    <x v="10"/>
  </r>
  <r>
    <n v="898"/>
    <d v="2025-11-10T00:00:00"/>
    <d v="1899-12-30T20:03:00"/>
    <s v="Money Received"/>
    <x v="1"/>
    <n v="200"/>
    <s v="Person_12"/>
    <x v="10"/>
  </r>
  <r>
    <n v="899"/>
    <d v="2025-11-11T00:00:00"/>
    <d v="1899-12-30T12:54:00"/>
    <s v="Person/Merchant Payment"/>
    <x v="0"/>
    <n v="606"/>
    <s v="Person_195"/>
    <x v="10"/>
  </r>
  <r>
    <n v="900"/>
    <d v="2025-11-11T00:00:00"/>
    <d v="1899-12-30T13:50:00"/>
    <s v="Money Received"/>
    <x v="1"/>
    <n v="1500"/>
    <s v="Person_45"/>
    <x v="10"/>
  </r>
  <r>
    <n v="901"/>
    <d v="2025-11-11T00:00:00"/>
    <d v="1899-12-30T23:13:00"/>
    <s v="Money Received"/>
    <x v="1"/>
    <n v="129.06"/>
    <s v="Person_187"/>
    <x v="10"/>
  </r>
  <r>
    <n v="902"/>
    <d v="2025-11-12T00:00:00"/>
    <d v="1899-12-30T13:53:00"/>
    <s v="Money Received"/>
    <x v="1"/>
    <n v="101"/>
    <s v="Person_12"/>
    <x v="10"/>
  </r>
  <r>
    <n v="903"/>
    <d v="2025-11-13T00:00:00"/>
    <d v="1899-12-30T20:11:00"/>
    <s v="Person/Merchant Payment"/>
    <x v="0"/>
    <n v="3500"/>
    <s v="Person_76"/>
    <x v="10"/>
  </r>
  <r>
    <n v="904"/>
    <d v="2025-11-14T00:00:00"/>
    <d v="1899-12-30T16:07:00"/>
    <s v="Money Received"/>
    <x v="1"/>
    <n v="10000"/>
    <s v="Person_45"/>
    <x v="10"/>
  </r>
  <r>
    <n v="905"/>
    <d v="2025-11-14T00:00:00"/>
    <d v="1899-12-30T16:34:00"/>
    <s v="Person/Merchant Payment"/>
    <x v="0"/>
    <n v="9000"/>
    <s v="Person_45"/>
    <x v="10"/>
  </r>
  <r>
    <n v="906"/>
    <d v="2025-11-14T00:00:00"/>
    <d v="1899-12-30T16:34:00"/>
    <s v="Person/Merchant Payment"/>
    <x v="0"/>
    <n v="1000"/>
    <s v="Person_45"/>
    <x v="10"/>
  </r>
  <r>
    <n v="907"/>
    <d v="2025-11-15T00:00:00"/>
    <d v="1899-12-30T10:48:00"/>
    <s v="Person/Merchant Payment"/>
    <x v="0"/>
    <n v="20"/>
    <s v="Person_196"/>
    <x v="10"/>
  </r>
  <r>
    <n v="908"/>
    <d v="2025-11-15T00:00:00"/>
    <d v="1899-12-30T11:12:00"/>
    <s v="Person/Merchant Payment"/>
    <x v="0"/>
    <n v="100"/>
    <s v="Person_197"/>
    <x v="10"/>
  </r>
  <r>
    <n v="909"/>
    <d v="2025-11-15T00:00:00"/>
    <d v="1899-12-30T16:35:00"/>
    <s v="Person/Merchant Payment"/>
    <x v="0"/>
    <n v="60"/>
    <s v="Person_196"/>
    <x v="10"/>
  </r>
  <r>
    <n v="910"/>
    <d v="2025-11-16T00:00:00"/>
    <d v="1899-12-30T10:15:00"/>
    <s v="Person/Merchant Payment"/>
    <x v="0"/>
    <n v="1000"/>
    <s v="Person_198"/>
    <x v="10"/>
  </r>
  <r>
    <n v="911"/>
    <d v="2025-11-17T00:00:00"/>
    <d v="1899-12-30T11:40:00"/>
    <s v="Person/Merchant Payment"/>
    <x v="0"/>
    <n v="100"/>
    <s v="Person_199"/>
    <x v="10"/>
  </r>
  <r>
    <n v="912"/>
    <d v="2025-11-17T00:00:00"/>
    <d v="1899-12-30T18:57:00"/>
    <s v="Person/Merchant Payment"/>
    <x v="0"/>
    <n v="1000"/>
    <s v="Person_45"/>
    <x v="10"/>
  </r>
  <r>
    <n v="913"/>
    <d v="2025-11-17T00:00:00"/>
    <d v="1899-12-30T19:00:00"/>
    <s v="Money Received"/>
    <x v="1"/>
    <n v="1000"/>
    <s v="Person_45"/>
    <x v="10"/>
  </r>
  <r>
    <n v="914"/>
    <d v="2025-11-17T00:00:00"/>
    <d v="1899-12-30T22:58:00"/>
    <s v="Person/Merchant Payment"/>
    <x v="0"/>
    <n v="1000"/>
    <s v="Person_45"/>
    <x v="10"/>
  </r>
  <r>
    <n v="915"/>
    <d v="2025-11-18T00:00:00"/>
    <d v="1899-12-30T09:13:00"/>
    <s v="Money Received"/>
    <x v="1"/>
    <n v="1000"/>
    <s v="Person_45"/>
    <x v="10"/>
  </r>
  <r>
    <n v="916"/>
    <d v="2025-11-18T00:00:00"/>
    <d v="1899-12-30T18:49:00"/>
    <s v="Person/Merchant Payment"/>
    <x v="0"/>
    <n v="1000"/>
    <s v="Person_45"/>
    <x v="10"/>
  </r>
  <r>
    <n v="917"/>
    <d v="2025-11-18T00:00:00"/>
    <d v="1899-12-30T22:03:00"/>
    <s v="Money Received"/>
    <x v="1"/>
    <n v="1"/>
    <s v="Person_200"/>
    <x v="10"/>
  </r>
  <r>
    <n v="918"/>
    <d v="2025-11-18T00:00:00"/>
    <d v="1899-12-30T22:07:00"/>
    <s v="Money Received"/>
    <x v="1"/>
    <n v="1"/>
    <s v="Person_200"/>
    <x v="10"/>
  </r>
  <r>
    <n v="919"/>
    <d v="2025-11-18T00:00:00"/>
    <d v="1899-12-30T22:10:00"/>
    <s v="Money Received"/>
    <x v="1"/>
    <n v="1000"/>
    <s v="Person_200"/>
    <x v="10"/>
  </r>
  <r>
    <n v="920"/>
    <d v="2025-11-19T00:00:00"/>
    <d v="1899-12-30T11:08:00"/>
    <s v="Person/Merchant Payment"/>
    <x v="0"/>
    <n v="40"/>
    <s v="Person_201"/>
    <x v="10"/>
  </r>
  <r>
    <n v="921"/>
    <d v="2025-11-19T00:00:00"/>
    <d v="1899-12-30T23:32:00"/>
    <s v="Money Received"/>
    <x v="1"/>
    <n v="534.96"/>
    <s v="Person_181"/>
    <x v="10"/>
  </r>
  <r>
    <n v="922"/>
    <d v="2025-11-20T00:00:00"/>
    <d v="1899-12-30T17:31:00"/>
    <s v="Food &amp; Dining"/>
    <x v="0"/>
    <n v="180"/>
    <s v="Person_174"/>
    <x v="10"/>
  </r>
  <r>
    <n v="923"/>
    <d v="2025-11-20T00:00:00"/>
    <d v="1899-12-30T17:36:00"/>
    <s v="Money Received"/>
    <x v="1"/>
    <n v="200"/>
    <s v="Person_12"/>
    <x v="10"/>
  </r>
  <r>
    <n v="924"/>
    <d v="2025-11-21T00:00:00"/>
    <d v="1899-12-30T13:53:00"/>
    <s v="Person/Merchant Payment"/>
    <x v="0"/>
    <n v="60"/>
    <s v="Person_110"/>
    <x v="10"/>
  </r>
  <r>
    <n v="925"/>
    <d v="2025-11-22T00:00:00"/>
    <d v="1899-12-30T09:38:00"/>
    <s v="Person/Merchant Payment"/>
    <x v="0"/>
    <n v="9"/>
    <s v="Person_180"/>
    <x v="10"/>
  </r>
  <r>
    <n v="926"/>
    <d v="2025-11-25T00:00:00"/>
    <d v="1899-12-30T16:04:00"/>
    <s v="Person/Merchant Payment"/>
    <x v="0"/>
    <n v="100"/>
    <s v="Person_45"/>
    <x v="10"/>
  </r>
  <r>
    <n v="927"/>
    <d v="2025-11-25T00:00:00"/>
    <d v="1899-12-30T17:09:00"/>
    <s v="Money Received"/>
    <x v="1"/>
    <n v="100"/>
    <s v="Person_45"/>
    <x v="10"/>
  </r>
  <r>
    <n v="928"/>
    <d v="2025-11-25T00:00:00"/>
    <d v="1899-12-30T17:54:00"/>
    <s v="Money Received"/>
    <x v="1"/>
    <n v="46"/>
    <s v="Person_1"/>
    <x v="10"/>
  </r>
  <r>
    <n v="929"/>
    <d v="2025-11-26T00:00:00"/>
    <d v="1899-12-30T20:54:00"/>
    <s v="Person/Merchant Payment"/>
    <x v="0"/>
    <n v="200"/>
    <s v="Person_15"/>
    <x v="10"/>
  </r>
  <r>
    <n v="930"/>
    <d v="2025-11-26T00:00:00"/>
    <d v="1899-12-30T22:02:00"/>
    <s v="Money Received"/>
    <x v="1"/>
    <n v="160"/>
    <s v="Person_2"/>
    <x v="10"/>
  </r>
  <r>
    <n v="931"/>
    <d v="2025-11-28T00:00:00"/>
    <d v="1899-12-30T17:26:00"/>
    <s v="Person/Merchant Payment"/>
    <x v="0"/>
    <n v="19"/>
    <s v="Person_138"/>
    <x v="10"/>
  </r>
  <r>
    <n v="932"/>
    <d v="2025-11-28T00:00:00"/>
    <d v="1899-12-30T18:30:00"/>
    <s v="Person/Merchant Payment"/>
    <x v="0"/>
    <n v="36"/>
    <s v="Person_161"/>
    <x v="10"/>
  </r>
  <r>
    <n v="933"/>
    <d v="2025-11-28T00:00:00"/>
    <d v="1899-12-30T18:31:00"/>
    <s v="Person/Merchant Payment"/>
    <x v="0"/>
    <n v="40"/>
    <s v="Person_17"/>
    <x v="10"/>
  </r>
  <r>
    <n v="934"/>
    <d v="2025-11-28T00:00:00"/>
    <d v="1899-12-30T18:35:00"/>
    <s v="Person/Merchant Payment"/>
    <x v="0"/>
    <n v="76"/>
    <s v="Person_17"/>
    <x v="10"/>
  </r>
  <r>
    <n v="935"/>
    <d v="2025-11-28T00:00:00"/>
    <d v="1899-12-30T18:36:00"/>
    <s v="Person/Merchant Payment"/>
    <x v="0"/>
    <n v="26"/>
    <s v="Person_119"/>
    <x v="10"/>
  </r>
  <r>
    <n v="936"/>
    <d v="2025-11-28T00:00:00"/>
    <d v="1899-12-30T18:42:00"/>
    <s v="Money Received"/>
    <x v="1"/>
    <n v="206.4"/>
    <s v="Person_187"/>
    <x v="10"/>
  </r>
  <r>
    <n v="937"/>
    <d v="2025-11-28T00:00:00"/>
    <d v="1899-12-30T18:52:00"/>
    <s v="Person/Merchant Payment"/>
    <x v="0"/>
    <n v="3"/>
    <s v="Person_17"/>
    <x v="10"/>
  </r>
  <r>
    <n v="938"/>
    <d v="2025-11-28T00:00:00"/>
    <d v="1899-12-30T18:54:00"/>
    <s v="Money Received"/>
    <x v="1"/>
    <n v="20"/>
    <s v="Person_17"/>
    <x v="10"/>
  </r>
  <r>
    <n v="939"/>
    <d v="2025-11-29T00:00:00"/>
    <d v="1899-12-30T12:36:00"/>
    <s v="Person/Merchant Payment"/>
    <x v="0"/>
    <n v="9"/>
    <s v="Person_8"/>
    <x v="10"/>
  </r>
  <r>
    <n v="940"/>
    <d v="2025-11-29T00:00:00"/>
    <d v="1899-12-30T17:46:00"/>
    <s v="Money Received"/>
    <x v="1"/>
    <n v="3000"/>
    <s v="Person_50"/>
    <x v="10"/>
  </r>
  <r>
    <n v="941"/>
    <d v="2025-11-29T00:00:00"/>
    <d v="1899-12-30T19:36:00"/>
    <s v="Person/Merchant Payment"/>
    <x v="0"/>
    <n v="1000"/>
    <s v="Person_78"/>
    <x v="10"/>
  </r>
  <r>
    <n v="942"/>
    <d v="2025-11-29T00:00:00"/>
    <d v="1899-12-30T21:07:00"/>
    <s v="Person/Merchant Payment"/>
    <x v="0"/>
    <n v="1000"/>
    <s v="Person_78"/>
    <x v="10"/>
  </r>
  <r>
    <n v="943"/>
    <d v="2025-11-30T00:00:00"/>
    <d v="1899-12-30T20:02:00"/>
    <s v="Person/Merchant Payment"/>
    <x v="0"/>
    <n v="1000"/>
    <s v="Person_50"/>
    <x v="10"/>
  </r>
  <r>
    <n v="944"/>
    <d v="2025-12-01T00:00:00"/>
    <d v="1899-12-30T17:50:00"/>
    <s v="Person/Merchant Payment"/>
    <x v="0"/>
    <n v="25"/>
    <s v="Person_119"/>
    <x v="11"/>
  </r>
  <r>
    <n v="945"/>
    <d v="2025-12-02T00:00:00"/>
    <d v="1899-12-30T23:09:00"/>
    <s v="Person/Merchant Payment"/>
    <x v="0"/>
    <n v="2000"/>
    <s v="Person_50"/>
    <x v="11"/>
  </r>
  <r>
    <n v="946"/>
    <d v="2025-12-04T00:00:00"/>
    <d v="1899-12-30T10:48:00"/>
    <s v="Person/Merchant Payment"/>
    <x v="0"/>
    <n v="10"/>
    <s v="Person_202"/>
    <x v="11"/>
  </r>
  <r>
    <n v="947"/>
    <d v="2025-12-05T00:00:00"/>
    <d v="1899-12-30T14:26:00"/>
    <s v="Education/Fees"/>
    <x v="0"/>
    <n v="50000"/>
    <s v="Person_5"/>
    <x v="11"/>
  </r>
  <r>
    <n v="948"/>
    <d v="2025-12-05T00:00:00"/>
    <d v="1899-12-30T14:36:00"/>
    <s v="Education/Fees"/>
    <x v="0"/>
    <n v="1680"/>
    <s v="Person_5"/>
    <x v="11"/>
  </r>
  <r>
    <n v="949"/>
    <d v="2025-12-05T00:00:00"/>
    <d v="1899-12-30T14:58:00"/>
    <s v="Person/Merchant Payment"/>
    <x v="0"/>
    <n v="1300"/>
    <s v="Person_76"/>
    <x v="11"/>
  </r>
  <r>
    <n v="950"/>
    <d v="2025-12-05T00:00:00"/>
    <d v="1899-12-30T14:59:00"/>
    <s v="Person/Merchant Payment"/>
    <x v="0"/>
    <n v="500"/>
    <s v="Person_76"/>
    <x v="11"/>
  </r>
  <r>
    <n v="951"/>
    <d v="2025-12-08T00:00:00"/>
    <d v="1899-12-30T18:17:00"/>
    <s v="Money Received"/>
    <x v="1"/>
    <n v="500"/>
    <s v="Person_37"/>
    <x v="11"/>
  </r>
  <r>
    <n v="952"/>
    <d v="2025-12-08T00:00:00"/>
    <d v="1899-12-30T18:20:00"/>
    <s v="Person/Merchant Payment"/>
    <x v="0"/>
    <n v="500"/>
    <s v="Person_203"/>
    <x v="11"/>
  </r>
  <r>
    <n v="953"/>
    <d v="2025-12-08T00:00:00"/>
    <d v="1899-12-30T18:25:00"/>
    <s v="Person/Merchant Payment"/>
    <x v="0"/>
    <n v="20"/>
    <s v="Person_138"/>
    <x v="11"/>
  </r>
  <r>
    <n v="954"/>
    <d v="2025-12-08T00:00:00"/>
    <d v="1899-12-30T18:26:00"/>
    <s v="Person/Merchant Payment"/>
    <x v="0"/>
    <n v="5"/>
    <s v="Person_138"/>
    <x v="11"/>
  </r>
  <r>
    <n v="955"/>
    <d v="2025-12-08T00:00:00"/>
    <d v="1899-12-30T19:19:00"/>
    <s v="Money Received"/>
    <x v="1"/>
    <n v="150"/>
    <s v="Person_155"/>
    <x v="11"/>
  </r>
  <r>
    <n v="956"/>
    <d v="2025-12-08T00:00:00"/>
    <d v="1899-12-30T19:59:00"/>
    <s v="Money Received"/>
    <x v="1"/>
    <n v="50000"/>
    <s v="Person_17"/>
    <x v="11"/>
  </r>
  <r>
    <n v="957"/>
    <d v="2025-12-08T00:00:00"/>
    <d v="1899-12-30T20:02:00"/>
    <s v="Money Received"/>
    <x v="1"/>
    <n v="600"/>
    <s v="Person_17"/>
    <x v="11"/>
  </r>
  <r>
    <n v="958"/>
    <d v="2025-12-08T00:00:00"/>
    <d v="1899-12-30T20:03:00"/>
    <s v="Person/Merchant Payment"/>
    <x v="0"/>
    <n v="600"/>
    <s v="Person_204"/>
    <x v="11"/>
  </r>
  <r>
    <n v="959"/>
    <d v="2025-12-08T00:00:00"/>
    <d v="1899-12-30T20:03:00"/>
    <s v="Person/Merchant Payment"/>
    <x v="0"/>
    <n v="50000"/>
    <s v="Person_204"/>
    <x v="11"/>
  </r>
  <r>
    <n v="960"/>
    <d v="2025-12-08T00:00:00"/>
    <d v="1899-12-30T20:53:00"/>
    <s v="Person/Merchant Payment"/>
    <x v="0"/>
    <n v="150"/>
    <s v="Person_172"/>
    <x v="11"/>
  </r>
  <r>
    <n v="961"/>
    <d v="2025-12-09T00:00:00"/>
    <d v="1899-12-30T17:17:00"/>
    <s v="Recharge"/>
    <x v="0"/>
    <n v="322"/>
    <s v="Person_18"/>
    <x v="11"/>
  </r>
  <r>
    <n v="962"/>
    <d v="2025-12-09T00:00:00"/>
    <d v="1899-12-30T19:22:00"/>
    <s v="Person/Merchant Payment"/>
    <x v="0"/>
    <n v="322"/>
    <s v="Person_172"/>
    <x v="11"/>
  </r>
  <r>
    <n v="963"/>
    <d v="2025-12-09T00:00:00"/>
    <d v="1899-12-30T19:22:00"/>
    <s v="Person/Merchant Payment"/>
    <x v="0"/>
    <n v="2000"/>
    <s v="Person_45"/>
    <x v="11"/>
  </r>
  <r>
    <n v="964"/>
    <d v="2025-12-09T00:00:00"/>
    <d v="1899-12-30T20:33:00"/>
    <s v="Money Received"/>
    <x v="1"/>
    <n v="650"/>
    <s v="Person_17"/>
    <x v="11"/>
  </r>
  <r>
    <n v="965"/>
    <d v="2025-12-09T00:00:00"/>
    <d v="1899-12-30T20:33:00"/>
    <s v="Person/Merchant Payment"/>
    <x v="0"/>
    <n v="650"/>
    <s v="Person_204"/>
    <x v="11"/>
  </r>
  <r>
    <n v="966"/>
    <d v="2025-12-11T00:00:00"/>
    <d v="1899-12-30T20:40:00"/>
    <s v="Person/Merchant Payment"/>
    <x v="0"/>
    <n v="500"/>
    <s v="Person_78"/>
    <x v="11"/>
  </r>
  <r>
    <n v="967"/>
    <d v="2025-12-11T00:00:00"/>
    <d v="1899-12-30T21:44:00"/>
    <s v="Money Received"/>
    <x v="1"/>
    <n v="500"/>
    <s v="Person_67"/>
    <x v="11"/>
  </r>
  <r>
    <n v="968"/>
    <d v="2025-12-11T00:00:00"/>
    <d v="1899-12-30T21:47:00"/>
    <s v="Person/Merchant Payment"/>
    <x v="0"/>
    <n v="500"/>
    <s v="Person_205"/>
    <x v="11"/>
  </r>
  <r>
    <n v="969"/>
    <d v="2025-12-11T00:00:00"/>
    <d v="1899-12-30T21:47:00"/>
    <s v="Person/Merchant Payment"/>
    <x v="0"/>
    <n v="500"/>
    <s v="Person_205"/>
    <x v="11"/>
  </r>
  <r>
    <n v="970"/>
    <d v="2025-12-13T00:00:00"/>
    <d v="1899-12-30T10:55:00"/>
    <s v="Money Received"/>
    <x v="1"/>
    <n v="500"/>
    <s v="Person_206"/>
    <x v="11"/>
  </r>
  <r>
    <n v="971"/>
    <d v="2025-12-13T00:00:00"/>
    <d v="1899-12-30T10:59:00"/>
    <s v="Person/Merchant Payment"/>
    <x v="0"/>
    <n v="500"/>
    <s v="Person_119"/>
    <x v="11"/>
  </r>
  <r>
    <n v="972"/>
    <d v="2025-12-14T00:00:00"/>
    <d v="1899-12-30T17:52:00"/>
    <s v="Person/Merchant Payment"/>
    <x v="0"/>
    <n v="40"/>
    <s v="Person_207"/>
    <x v="11"/>
  </r>
  <r>
    <n v="973"/>
    <d v="2025-12-14T00:00:00"/>
    <d v="1899-12-30T18:13:00"/>
    <s v="Person/Merchant Payment"/>
    <x v="0"/>
    <n v="459"/>
    <s v="Person_17"/>
    <x v="11"/>
  </r>
  <r>
    <n v="974"/>
    <d v="2025-12-15T00:00:00"/>
    <d v="1899-12-30T09:47:00"/>
    <s v="Money Received"/>
    <x v="1"/>
    <n v="5000"/>
    <s v="Person_37"/>
    <x v="11"/>
  </r>
  <r>
    <n v="975"/>
    <d v="2025-12-15T00:00:00"/>
    <d v="1899-12-30T09:48:00"/>
    <s v="Person/Merchant Payment"/>
    <x v="0"/>
    <n v="5000"/>
    <s v="Person_208"/>
    <x v="11"/>
  </r>
  <r>
    <n v="976"/>
    <d v="2025-12-15T00:00:00"/>
    <d v="1899-12-30T09:49:00"/>
    <s v="Person/Merchant Payment"/>
    <x v="0"/>
    <n v="200"/>
    <s v="Person_208"/>
    <x v="11"/>
  </r>
  <r>
    <n v="977"/>
    <d v="2025-12-15T00:00:00"/>
    <d v="1899-12-30T18:34:00"/>
    <s v="Person/Merchant Payment"/>
    <x v="0"/>
    <n v="5000"/>
    <s v="Person_45"/>
    <x v="11"/>
  </r>
  <r>
    <n v="978"/>
    <d v="2025-12-15T00:00:00"/>
    <d v="1899-12-30T18:49:00"/>
    <s v="Money Received"/>
    <x v="1"/>
    <n v="1500"/>
    <s v="Person_209"/>
    <x v="11"/>
  </r>
  <r>
    <n v="979"/>
    <d v="2025-12-16T00:00:00"/>
    <d v="1899-12-30T15:51:00"/>
    <s v="Money Received"/>
    <x v="1"/>
    <n v="45000"/>
    <s v="Person_210"/>
    <x v="11"/>
  </r>
  <r>
    <n v="980"/>
    <d v="2025-12-16T00:00:00"/>
    <d v="1899-12-30T15:54:00"/>
    <s v="Person/Merchant Payment"/>
    <x v="0"/>
    <n v="5000"/>
    <s v="Person_211"/>
    <x v="11"/>
  </r>
  <r>
    <n v="981"/>
    <d v="2025-12-16T00:00:00"/>
    <d v="1899-12-30T17:05:00"/>
    <s v="Person/Merchant Payment"/>
    <x v="0"/>
    <n v="1000"/>
    <s v="Person_212"/>
    <x v="11"/>
  </r>
  <r>
    <n v="982"/>
    <d v="2025-12-16T00:00:00"/>
    <d v="1899-12-30T20:04:00"/>
    <s v="Person/Merchant Payment"/>
    <x v="0"/>
    <n v="2000"/>
    <s v="Person_156"/>
    <x v="11"/>
  </r>
  <r>
    <n v="983"/>
    <d v="2025-12-17T00:00:00"/>
    <d v="1899-12-30T15:13:00"/>
    <s v="Person/Merchant Payment"/>
    <x v="0"/>
    <n v="1000"/>
    <s v="Person_128"/>
    <x v="11"/>
  </r>
  <r>
    <n v="984"/>
    <d v="2025-12-17T00:00:00"/>
    <d v="1899-12-30T19:09:00"/>
    <s v="Person/Merchant Payment"/>
    <x v="0"/>
    <n v="29"/>
    <s v="Person_138"/>
    <x v="11"/>
  </r>
  <r>
    <n v="985"/>
    <d v="2025-12-18T00:00:00"/>
    <d v="1899-12-30T20:46:00"/>
    <s v="Money Received"/>
    <x v="1"/>
    <n v="22"/>
    <s v="Person_17"/>
    <x v="11"/>
  </r>
  <r>
    <n v="986"/>
    <d v="2025-12-20T00:00:00"/>
    <d v="1899-12-30T13:07:00"/>
    <s v="Person/Merchant Payment"/>
    <x v="0"/>
    <n v="10"/>
    <s v="Person_147"/>
    <x v="11"/>
  </r>
  <r>
    <n v="987"/>
    <d v="2025-12-20T00:00:00"/>
    <d v="1899-12-30T14:59:00"/>
    <s v="Money Received"/>
    <x v="1"/>
    <n v="250"/>
    <s v="Person_37"/>
    <x v="11"/>
  </r>
  <r>
    <n v="988"/>
    <d v="2025-12-21T00:00:00"/>
    <d v="1899-12-30T13:39:00"/>
    <s v="Person/Merchant Payment"/>
    <x v="0"/>
    <n v="1000"/>
    <s v="Person_213"/>
    <x v="11"/>
  </r>
  <r>
    <n v="989"/>
    <d v="2025-12-21T00:00:00"/>
    <d v="1899-12-30T15:23:00"/>
    <s v="Person/Merchant Payment"/>
    <x v="0"/>
    <n v="50"/>
    <s v="Person_214"/>
    <x v="11"/>
  </r>
  <r>
    <n v="990"/>
    <d v="2025-12-21T00:00:00"/>
    <d v="1899-12-30T16:54:00"/>
    <s v="Person/Merchant Payment"/>
    <x v="0"/>
    <n v="2500"/>
    <s v="Person_215"/>
    <x v="11"/>
  </r>
  <r>
    <n v="991"/>
    <d v="2025-12-21T00:00:00"/>
    <d v="1899-12-30T18:02:00"/>
    <s v="Person/Merchant Payment"/>
    <x v="0"/>
    <n v="1550"/>
    <s v="Person_216"/>
    <x v="11"/>
  </r>
  <r>
    <n v="992"/>
    <d v="2025-12-21T00:00:00"/>
    <d v="1899-12-30T18:07:00"/>
    <s v="Money Received"/>
    <x v="1"/>
    <n v="100"/>
    <s v="Person_206"/>
    <x v="11"/>
  </r>
  <r>
    <n v="993"/>
    <d v="2025-12-21T00:00:00"/>
    <d v="1899-12-30T18:07:00"/>
    <s v="Money Received"/>
    <x v="1"/>
    <n v="900"/>
    <s v="Person_206"/>
    <x v="11"/>
  </r>
  <r>
    <n v="994"/>
    <d v="2025-12-21T00:00:00"/>
    <d v="1899-12-30T18:11:00"/>
    <s v="Person/Merchant Payment"/>
    <x v="0"/>
    <n v="1000"/>
    <s v="Person_119"/>
    <x v="11"/>
  </r>
  <r>
    <n v="995"/>
    <d v="2025-12-21T00:00:00"/>
    <d v="1899-12-30T18:18:00"/>
    <s v="Person/Merchant Payment"/>
    <x v="0"/>
    <n v="1000"/>
    <s v="Person_212"/>
    <x v="11"/>
  </r>
  <r>
    <n v="996"/>
    <d v="2025-12-21T00:00:00"/>
    <d v="1899-12-30T18:22:00"/>
    <s v="Person/Merchant Payment"/>
    <x v="0"/>
    <n v="200"/>
    <s v="Person_217"/>
    <x v="11"/>
  </r>
  <r>
    <n v="997"/>
    <d v="2025-12-21T00:00:00"/>
    <d v="1899-12-30T19:26:00"/>
    <s v="Money Received"/>
    <x v="1"/>
    <n v="1500"/>
    <s v="Person_218"/>
    <x v="11"/>
  </r>
  <r>
    <n v="998"/>
    <d v="2025-12-22T00:00:00"/>
    <d v="1899-12-30T12:34:00"/>
    <s v="Person/Merchant Payment"/>
    <x v="0"/>
    <n v="4320"/>
    <s v="Person_219"/>
    <x v="11"/>
  </r>
  <r>
    <n v="999"/>
    <d v="2025-12-22T00:00:00"/>
    <d v="1899-12-30T16:18:00"/>
    <s v="Person/Merchant Payment"/>
    <x v="0"/>
    <n v="2000"/>
    <s v="Person_212"/>
    <x v="11"/>
  </r>
  <r>
    <n v="1000"/>
    <d v="2025-12-22T00:00:00"/>
    <d v="1899-12-30T18:03:00"/>
    <s v="Money Received"/>
    <x v="1"/>
    <n v="85"/>
    <s v="Person_17"/>
    <x v="11"/>
  </r>
  <r>
    <n v="1001"/>
    <d v="2025-12-22T00:00:00"/>
    <d v="1899-12-30T18:39:00"/>
    <s v="Person/Merchant Payment"/>
    <x v="0"/>
    <n v="1000"/>
    <s v="Person_156"/>
    <x v="11"/>
  </r>
  <r>
    <n v="1002"/>
    <d v="2025-12-22T00:00:00"/>
    <d v="1899-12-30T19:15:00"/>
    <s v="Person/Merchant Payment"/>
    <x v="0"/>
    <n v="80"/>
    <s v="Person_220"/>
    <x v="11"/>
  </r>
  <r>
    <n v="1003"/>
    <d v="2025-12-22T00:00:00"/>
    <d v="1899-12-30T20:33:00"/>
    <s v="Person/Merchant Payment"/>
    <x v="0"/>
    <n v="40"/>
    <s v="Person_221"/>
    <x v="11"/>
  </r>
  <r>
    <n v="1004"/>
    <d v="2025-12-23T00:00:00"/>
    <d v="1899-12-30T06:16:00"/>
    <s v="Person/Merchant Payment"/>
    <x v="0"/>
    <n v="40"/>
    <s v="Person_222"/>
    <x v="11"/>
  </r>
  <r>
    <n v="1005"/>
    <d v="2025-12-23T00:00:00"/>
    <d v="1899-12-30T06:19:00"/>
    <s v="Person/Merchant Payment"/>
    <x v="0"/>
    <n v="50"/>
    <s v="Person_196"/>
    <x v="11"/>
  </r>
  <r>
    <n v="1006"/>
    <d v="2025-12-23T00:00:00"/>
    <d v="1899-12-30T14:33:00"/>
    <s v="Person/Merchant Payment"/>
    <x v="0"/>
    <n v="27"/>
    <s v="Person_223"/>
    <x v="11"/>
  </r>
  <r>
    <n v="1007"/>
    <d v="2025-12-23T00:00:00"/>
    <d v="1899-12-30T15:41:00"/>
    <s v="Money Received"/>
    <x v="1"/>
    <n v="25"/>
    <s v="Person_15"/>
    <x v="11"/>
  </r>
  <r>
    <n v="1008"/>
    <d v="2025-12-25T00:00:00"/>
    <d v="1899-12-30T11:59:00"/>
    <s v="Person/Merchant Payment"/>
    <x v="0"/>
    <n v="2100"/>
    <s v="Person_12"/>
    <x v="11"/>
  </r>
  <r>
    <n v="1009"/>
    <d v="2025-12-25T00:00:00"/>
    <d v="1899-12-30T13:16:00"/>
    <s v="Money Received"/>
    <x v="1"/>
    <n v="1300"/>
    <s v="Person_224"/>
    <x v="11"/>
  </r>
  <r>
    <n v="1010"/>
    <d v="2025-12-26T00:00:00"/>
    <d v="1899-12-30T09:07:00"/>
    <s v="Money Received"/>
    <x v="1"/>
    <n v="90"/>
    <s v="Person_50"/>
    <x v="11"/>
  </r>
  <r>
    <n v="1011"/>
    <d v="2025-12-28T00:00:00"/>
    <d v="1899-12-30T18:48:00"/>
    <s v="Person/Merchant Payment"/>
    <x v="0"/>
    <n v="2500"/>
    <s v="Person_84"/>
    <x v="11"/>
  </r>
  <r>
    <n v="1012"/>
    <d v="2025-12-29T00:00:00"/>
    <d v="1899-12-30T10:46:00"/>
    <s v="Person/Merchant Payment"/>
    <x v="0"/>
    <n v="80"/>
    <s v="Person_225"/>
    <x v="11"/>
  </r>
  <r>
    <n v="1013"/>
    <d v="2025-12-29T00:00:00"/>
    <d v="1899-12-30T11:07:00"/>
    <s v="Person/Merchant Payment"/>
    <x v="0"/>
    <n v="35"/>
    <s v="Person_226"/>
    <x v="11"/>
  </r>
  <r>
    <n v="1014"/>
    <d v="2025-12-29T00:00:00"/>
    <d v="1899-12-30T11:10:00"/>
    <s v="Person/Merchant Payment"/>
    <x v="0"/>
    <n v="40"/>
    <s v="Person_225"/>
    <x v="11"/>
  </r>
  <r>
    <n v="1015"/>
    <d v="2025-12-29T00:00:00"/>
    <d v="1899-12-30T17:15:00"/>
    <s v="Money Received"/>
    <x v="1"/>
    <n v="2500"/>
    <s v="Person_84"/>
    <x v="11"/>
  </r>
  <r>
    <n v="1016"/>
    <d v="2025-12-29T00:00:00"/>
    <d v="1899-12-30T18:17:00"/>
    <s v="Person/Merchant Payment"/>
    <x v="0"/>
    <n v="500"/>
    <s v="Person_156"/>
    <x v="11"/>
  </r>
  <r>
    <n v="1017"/>
    <d v="2025-12-29T00:00:00"/>
    <d v="1899-12-30T18:21:00"/>
    <s v="Person/Merchant Payment"/>
    <x v="0"/>
    <n v="2000"/>
    <s v="Person_6"/>
    <x v="11"/>
  </r>
  <r>
    <n v="1018"/>
    <d v="2025-12-31T00:00:00"/>
    <d v="1899-12-30T11:34:00"/>
    <s v="Person/Merchant Payment"/>
    <x v="0"/>
    <n v="8"/>
    <s v="Person_8"/>
    <x v="11"/>
  </r>
  <r>
    <n v="1019"/>
    <d v="2025-12-31T00:00:00"/>
    <d v="1899-12-30T23:53:00"/>
    <s v="Person/Merchant Payment"/>
    <x v="0"/>
    <n v="2854"/>
    <s v="Person_227"/>
    <x v="11"/>
  </r>
  <r>
    <n v="1020"/>
    <d v="2026-01-02T00:00:00"/>
    <d v="1899-12-30T14:20:00"/>
    <s v="Person/Merchant Payment"/>
    <x v="0"/>
    <n v="500"/>
    <s v="Person_228"/>
    <x v="12"/>
  </r>
  <r>
    <n v="1021"/>
    <d v="2026-01-03T00:00:00"/>
    <d v="1899-12-30T01:56:00"/>
    <s v="Money Received"/>
    <x v="1"/>
    <n v="500"/>
    <s v="Person_173"/>
    <x v="12"/>
  </r>
  <r>
    <n v="1022"/>
    <d v="2026-01-03T00:00:00"/>
    <d v="1899-12-30T16:42:00"/>
    <s v="Transport"/>
    <x v="0"/>
    <n v="319"/>
    <s v="Person_229"/>
    <x v="12"/>
  </r>
  <r>
    <n v="1023"/>
    <d v="2026-01-04T00:00:00"/>
    <d v="1899-12-30T12:07:00"/>
    <s v="Person/Merchant Payment"/>
    <x v="0"/>
    <n v="260"/>
    <s v="Person_230"/>
    <x v="12"/>
  </r>
  <r>
    <n v="1024"/>
    <d v="2026-01-04T00:00:00"/>
    <d v="1899-12-30T12:08:00"/>
    <s v="Money Received"/>
    <x v="1"/>
    <n v="260"/>
    <s v="Person_12"/>
    <x v="12"/>
  </r>
  <r>
    <n v="1025"/>
    <d v="2026-01-05T00:00:00"/>
    <d v="1899-12-30T22:12:00"/>
    <s v="Money Received"/>
    <x v="1"/>
    <n v="10000"/>
    <s v="Person_37"/>
    <x v="12"/>
  </r>
  <r>
    <n v="1026"/>
    <d v="2026-01-05T00:00:00"/>
    <d v="1899-12-30T22:53:00"/>
    <s v="Person/Merchant Payment"/>
    <x v="0"/>
    <n v="100"/>
    <s v="Person_231"/>
    <x v="12"/>
  </r>
  <r>
    <n v="1027"/>
    <d v="2026-01-06T00:00:00"/>
    <d v="1899-12-30T18:50:00"/>
    <s v="Person/Merchant Payment"/>
    <x v="0"/>
    <n v="20"/>
    <s v="Person_136"/>
    <x v="12"/>
  </r>
  <r>
    <n v="1028"/>
    <d v="2026-01-07T00:00:00"/>
    <d v="1899-12-30T18:08:00"/>
    <s v="Person/Merchant Payment"/>
    <x v="0"/>
    <n v="1260"/>
    <s v="Person_8"/>
    <x v="12"/>
  </r>
  <r>
    <n v="1029"/>
    <d v="2026-01-08T00:00:00"/>
    <d v="1899-12-30T20:05:00"/>
    <s v="Person/Merchant Payment"/>
    <x v="0"/>
    <n v="18"/>
    <s v="Person_138"/>
    <x v="12"/>
  </r>
  <r>
    <n v="1030"/>
    <d v="2026-01-08T00:00:00"/>
    <d v="1899-12-30T20:39:00"/>
    <s v="Person/Merchant Payment"/>
    <x v="0"/>
    <n v="4000"/>
    <s v="Person_172"/>
    <x v="12"/>
  </r>
  <r>
    <n v="1031"/>
    <d v="2026-01-08T00:00:00"/>
    <d v="1899-12-30T20:40:00"/>
    <s v="Person/Merchant Payment"/>
    <x v="0"/>
    <n v="3000"/>
    <s v="Person_172"/>
    <x v="12"/>
  </r>
  <r>
    <n v="1032"/>
    <d v="2026-01-08T00:00:00"/>
    <d v="1899-12-30T21:43:00"/>
    <s v="Person/Merchant Payment"/>
    <x v="0"/>
    <n v="10"/>
    <s v="Person_226"/>
    <x v="12"/>
  </r>
  <r>
    <n v="1033"/>
    <d v="2026-01-08T00:00:00"/>
    <d v="1899-12-30T23:59:00"/>
    <s v="Person/Merchant Payment"/>
    <x v="0"/>
    <n v="5000"/>
    <s v="Person_6"/>
    <x v="12"/>
  </r>
  <r>
    <n v="1034"/>
    <d v="2026-01-09T00:00:00"/>
    <d v="1899-12-30T00:04:00"/>
    <s v="Person/Merchant Payment"/>
    <x v="0"/>
    <n v="5000"/>
    <s v="Person_172"/>
    <x v="12"/>
  </r>
  <r>
    <n v="1035"/>
    <d v="2026-01-09T00:00:00"/>
    <d v="1899-12-30T12:59:00"/>
    <s v="Money Received"/>
    <x v="1"/>
    <n v="30"/>
    <s v="Person_232"/>
    <x v="12"/>
  </r>
  <r>
    <n v="1036"/>
    <d v="2026-01-09T00:00:00"/>
    <d v="1899-12-30T13:58:00"/>
    <s v="Person/Merchant Payment"/>
    <x v="0"/>
    <n v="30"/>
    <s v="Person_50"/>
    <x v="12"/>
  </r>
  <r>
    <n v="1037"/>
    <d v="2026-01-09T00:00:00"/>
    <d v="1899-12-30T14:00:00"/>
    <s v="Person/Merchant Payment"/>
    <x v="0"/>
    <n v="10000"/>
    <s v="Person_45"/>
    <x v="12"/>
  </r>
  <r>
    <n v="1038"/>
    <d v="2026-01-09T00:00:00"/>
    <d v="1899-12-30T14:07:00"/>
    <s v="Person/Merchant Payment"/>
    <x v="0"/>
    <n v="50"/>
    <s v="Person_233"/>
    <x v="12"/>
  </r>
  <r>
    <n v="1039"/>
    <d v="2026-01-09T00:00:00"/>
    <d v="1899-12-30T17:31:00"/>
    <s v="Person/Merchant Payment"/>
    <x v="0"/>
    <n v="26"/>
    <s v="Person_138"/>
    <x v="12"/>
  </r>
  <r>
    <n v="1040"/>
    <d v="2026-01-09T00:00:00"/>
    <d v="1899-12-30T17:31:00"/>
    <s v="Person/Merchant Payment"/>
    <x v="0"/>
    <n v="5"/>
    <s v="Person_138"/>
    <x v="12"/>
  </r>
  <r>
    <n v="1041"/>
    <d v="2026-01-09T00:00:00"/>
    <d v="1899-12-30T20:01:00"/>
    <s v="Person/Merchant Payment"/>
    <x v="0"/>
    <n v="50"/>
    <s v="Person_50"/>
    <x v="12"/>
  </r>
  <r>
    <n v="1042"/>
    <d v="2026-01-09T00:00:00"/>
    <d v="1899-12-30T22:50:00"/>
    <s v="Person/Merchant Payment"/>
    <x v="0"/>
    <n v="200"/>
    <s v="Person_156"/>
    <x v="12"/>
  </r>
  <r>
    <n v="1043"/>
    <d v="2026-01-10T00:00:00"/>
    <d v="1899-12-30T12:53:00"/>
    <s v="Person/Merchant Payment"/>
    <x v="0"/>
    <n v="2200"/>
    <s v="Person_156"/>
    <x v="12"/>
  </r>
  <r>
    <n v="1044"/>
    <d v="2026-01-10T00:00:00"/>
    <d v="1899-12-30T19:42:00"/>
    <s v="Person/Merchant Payment"/>
    <x v="0"/>
    <n v="500"/>
    <s v="Person_50"/>
    <x v="12"/>
  </r>
  <r>
    <n v="1045"/>
    <d v="2026-01-10T00:00:00"/>
    <d v="1899-12-30T19:42:00"/>
    <s v="Person/Merchant Payment"/>
    <x v="0"/>
    <n v="500"/>
    <s v="Person_172"/>
    <x v="12"/>
  </r>
  <r>
    <n v="1046"/>
    <d v="2026-01-11T00:00:00"/>
    <d v="1899-12-30T13:38:00"/>
    <s v="Money Received"/>
    <x v="1"/>
    <n v="100"/>
    <s v="Person_17"/>
    <x v="12"/>
  </r>
  <r>
    <n v="1047"/>
    <d v="2026-01-12T00:00:00"/>
    <d v="1899-12-30T13:20:00"/>
    <s v="Person/Merchant Payment"/>
    <x v="0"/>
    <n v="506"/>
    <s v="Person_234"/>
    <x v="12"/>
  </r>
  <r>
    <n v="1048"/>
    <d v="2026-01-12T00:00:00"/>
    <d v="1899-12-30T13:51:00"/>
    <s v="Person/Merchant Payment"/>
    <x v="0"/>
    <n v="20"/>
    <s v="Person_50"/>
    <x v="12"/>
  </r>
  <r>
    <n v="1049"/>
    <d v="2026-01-12T00:00:00"/>
    <d v="1899-12-30T14:49:00"/>
    <s v="Person/Merchant Payment"/>
    <x v="0"/>
    <n v="80"/>
    <s v="Person_2"/>
    <x v="12"/>
  </r>
  <r>
    <n v="1050"/>
    <d v="2026-01-12T00:00:00"/>
    <d v="1899-12-30T18:13:00"/>
    <s v="Money Received"/>
    <x v="1"/>
    <n v="3000"/>
    <s v="Person_12"/>
    <x v="12"/>
  </r>
  <r>
    <n v="1051"/>
    <d v="2026-01-12T00:00:00"/>
    <d v="1899-12-30T18:17:00"/>
    <s v="Person/Merchant Payment"/>
    <x v="0"/>
    <n v="2000"/>
    <s v="Person_50"/>
    <x v="12"/>
  </r>
  <r>
    <n v="1052"/>
    <d v="2026-01-12T00:00:00"/>
    <d v="1899-12-30T20:14:00"/>
    <s v="Money Received"/>
    <x v="1"/>
    <n v="500"/>
    <s v="Person_150"/>
    <x v="12"/>
  </r>
  <r>
    <n v="1053"/>
    <d v="2026-01-12T00:00:00"/>
    <d v="1899-12-30T21:05:00"/>
    <s v="Person/Merchant Payment"/>
    <x v="0"/>
    <n v="500"/>
    <s v="Person_50"/>
    <x v="12"/>
  </r>
  <r>
    <n v="1054"/>
    <d v="2026-01-12T00:00:00"/>
    <d v="1899-12-30T21:05:00"/>
    <s v="Person/Merchant Payment"/>
    <x v="0"/>
    <n v="506"/>
    <s v="Person_193"/>
    <x v="12"/>
  </r>
  <r>
    <n v="1055"/>
    <d v="2026-01-12T00:00:00"/>
    <d v="1899-12-30T21:06:00"/>
    <s v="Person/Merchant Payment"/>
    <x v="0"/>
    <n v="500"/>
    <s v="Person_50"/>
    <x v="12"/>
  </r>
  <r>
    <n v="1056"/>
    <d v="2026-01-13T00:00:00"/>
    <d v="1899-12-30T05:47:00"/>
    <s v="Money Received"/>
    <x v="1"/>
    <n v="5000"/>
    <s v="Person_37"/>
    <x v="12"/>
  </r>
  <r>
    <n v="1057"/>
    <d v="2026-01-13T00:00:00"/>
    <d v="1899-12-30T05:59:00"/>
    <s v="Food &amp; Dining"/>
    <x v="0"/>
    <n v="2000"/>
    <s v="Person_235"/>
    <x v="12"/>
  </r>
  <r>
    <n v="1058"/>
    <d v="2026-01-13T00:00:00"/>
    <d v="1899-12-30T08:38:00"/>
    <s v="Person/Merchant Payment"/>
    <x v="0"/>
    <n v="2000"/>
    <s v="Person_236"/>
    <x v="12"/>
  </r>
  <r>
    <n v="1059"/>
    <d v="2026-01-13T00:00:00"/>
    <d v="1899-12-30T08:41:00"/>
    <s v="Person/Merchant Payment"/>
    <x v="0"/>
    <n v="1000"/>
    <s v="Person_236"/>
    <x v="12"/>
  </r>
  <r>
    <n v="1060"/>
    <d v="2026-01-13T00:00:00"/>
    <d v="1899-12-30T18:46:00"/>
    <s v="Person/Merchant Payment"/>
    <x v="0"/>
    <n v="2000"/>
    <s v="Person_156"/>
    <x v="12"/>
  </r>
  <r>
    <n v="1061"/>
    <d v="2026-01-15T00:00:00"/>
    <d v="1899-12-30T16:30:00"/>
    <s v="Person/Merchant Payment"/>
    <x v="0"/>
    <n v="10800"/>
    <s v="Person_37"/>
    <x v="12"/>
  </r>
  <r>
    <n v="1062"/>
    <d v="2026-01-15T00:00:00"/>
    <d v="1899-12-30T16:31:00"/>
    <s v="Person/Merchant Payment"/>
    <x v="0"/>
    <n v="500"/>
    <s v="Person_45"/>
    <x v="12"/>
  </r>
  <r>
    <n v="1063"/>
    <d v="2026-01-16T00:00:00"/>
    <d v="1899-12-30T19:33:00"/>
    <s v="Person/Merchant Payment"/>
    <x v="0"/>
    <n v="39"/>
    <s v="Person_237"/>
    <x v="12"/>
  </r>
  <r>
    <n v="1064"/>
    <d v="2026-01-17T00:00:00"/>
    <d v="1899-12-30T13:02:00"/>
    <s v="Person/Merchant Payment"/>
    <x v="0"/>
    <n v="20"/>
    <s v="Person_138"/>
    <x v="12"/>
  </r>
  <r>
    <n v="1065"/>
    <d v="2026-01-17T00:00:00"/>
    <d v="1899-12-30T18:51:00"/>
    <s v="Money Received"/>
    <x v="1"/>
    <n v="500"/>
    <s v="Person_12"/>
    <x v="12"/>
  </r>
  <r>
    <n v="1066"/>
    <d v="2026-01-17T00:00:00"/>
    <d v="1899-12-30T23:04:00"/>
    <s v="Person/Merchant Payment"/>
    <x v="0"/>
    <n v="100"/>
    <s v="Person_156"/>
    <x v="12"/>
  </r>
  <r>
    <n v="1067"/>
    <d v="2026-01-18T00:00:00"/>
    <d v="1899-12-30T13:15:00"/>
    <s v="Money Received"/>
    <x v="1"/>
    <n v="60"/>
    <s v="Person_11"/>
    <x v="12"/>
  </r>
  <r>
    <n v="1068"/>
    <d v="2026-01-18T00:00:00"/>
    <d v="1899-12-30T18:11:00"/>
    <s v="Person/Merchant Payment"/>
    <x v="0"/>
    <n v="300"/>
    <s v="Person_156"/>
    <x v="12"/>
  </r>
  <r>
    <n v="1069"/>
    <d v="2026-01-19T00:00:00"/>
    <d v="1899-12-30T18:00:00"/>
    <s v="Food &amp; Dining"/>
    <x v="0"/>
    <n v="85"/>
    <s v="Person_174"/>
    <x v="12"/>
  </r>
  <r>
    <n v="1070"/>
    <d v="2026-01-19T00:00:00"/>
    <d v="1899-12-30T18:30:00"/>
    <s v="Person/Merchant Payment"/>
    <x v="0"/>
    <n v="220"/>
    <s v="Person_169"/>
    <x v="12"/>
  </r>
  <r>
    <n v="1071"/>
    <d v="2026-01-19T00:00:00"/>
    <d v="1899-12-30T21:56:00"/>
    <s v="Person/Merchant Payment"/>
    <x v="0"/>
    <n v="20"/>
    <s v="Person_50"/>
    <x v="12"/>
  </r>
  <r>
    <n v="1072"/>
    <d v="2026-01-19T00:00:00"/>
    <d v="1899-12-30T22:53:00"/>
    <s v="Person/Merchant Payment"/>
    <x v="0"/>
    <n v="400"/>
    <s v="Person_238"/>
    <x v="12"/>
  </r>
  <r>
    <n v="1073"/>
    <d v="2026-01-19T00:00:00"/>
    <d v="1899-12-30T23:21:00"/>
    <s v="Money Received"/>
    <x v="1"/>
    <n v="400"/>
    <s v="Person_239"/>
    <x v="12"/>
  </r>
  <r>
    <n v="1074"/>
    <d v="2026-01-20T00:00:00"/>
    <d v="1899-12-30T14:38:00"/>
    <s v="Person/Merchant Payment"/>
    <x v="0"/>
    <n v="2000"/>
    <s v="Person_156"/>
    <x v="12"/>
  </r>
  <r>
    <n v="1075"/>
    <d v="2026-01-20T00:00:00"/>
    <d v="1899-12-30T16:06:00"/>
    <s v="Money Received"/>
    <x v="1"/>
    <n v="100"/>
    <s v="Person_50"/>
    <x v="12"/>
  </r>
  <r>
    <n v="1076"/>
    <d v="2026-01-20T00:00:00"/>
    <d v="1899-12-30T16:06:00"/>
    <s v="Person/Merchant Payment"/>
    <x v="0"/>
    <n v="99"/>
    <s v="Zepto Marketplace Private Limited"/>
    <x v="12"/>
  </r>
  <r>
    <n v="1077"/>
    <d v="2026-01-20T00:00:00"/>
    <d v="1899-12-30T20:42:00"/>
    <s v="Recharge"/>
    <x v="0"/>
    <n v="353"/>
    <s v="Person_18"/>
    <x v="12"/>
  </r>
  <r>
    <n v="1078"/>
    <d v="2026-01-21T00:00:00"/>
    <d v="1899-12-30T19:18:00"/>
    <s v="Person/Merchant Payment"/>
    <x v="0"/>
    <n v="1500"/>
    <s v="Person_240"/>
    <x v="12"/>
  </r>
  <r>
    <n v="1079"/>
    <d v="2026-01-22T00:00:00"/>
    <d v="1899-12-30T13:38:00"/>
    <s v="Person/Merchant Payment"/>
    <x v="0"/>
    <n v="100"/>
    <s v="Person_156"/>
    <x v="12"/>
  </r>
  <r>
    <n v="1080"/>
    <d v="2026-01-22T00:00:00"/>
    <d v="1899-12-30T14:14:00"/>
    <s v="Money Received"/>
    <x v="1"/>
    <n v="1500"/>
    <s v="Person_37"/>
    <x v="12"/>
  </r>
  <r>
    <n v="1081"/>
    <d v="2026-01-22T00:00:00"/>
    <d v="1899-12-30T14:18:00"/>
    <s v="Person/Merchant Payment"/>
    <x v="0"/>
    <n v="1500"/>
    <s v="Person_241"/>
    <x v="12"/>
  </r>
  <r>
    <n v="1082"/>
    <d v="2026-01-23T00:00:00"/>
    <d v="1899-12-30T10:56:00"/>
    <s v="Person/Merchant Payment"/>
    <x v="0"/>
    <n v="3998"/>
    <s v="Person_45"/>
    <x v="12"/>
  </r>
  <r>
    <n v="1083"/>
    <d v="2026-01-23T00:00:00"/>
    <d v="1899-12-30T12:43:00"/>
    <s v="Money Received"/>
    <x v="1"/>
    <n v="20"/>
    <s v="Person_242"/>
    <x v="12"/>
  </r>
  <r>
    <n v="1084"/>
    <d v="2026-01-25T00:00:00"/>
    <d v="1899-12-30T15:37:00"/>
    <s v="Person/Merchant Payment"/>
    <x v="0"/>
    <n v="1000"/>
    <s v="Person_45"/>
    <x v="12"/>
  </r>
  <r>
    <n v="1085"/>
    <d v="2026-01-26T00:00:00"/>
    <d v="1899-12-30T15:01:00"/>
    <s v="Person/Merchant Payment"/>
    <x v="0"/>
    <n v="400"/>
    <s v="Person_193"/>
    <x v="12"/>
  </r>
  <r>
    <n v="1086"/>
    <d v="2026-01-26T00:00:00"/>
    <d v="1899-12-30T15:50:00"/>
    <s v="Person/Merchant Payment"/>
    <x v="0"/>
    <n v="600"/>
    <s v="Person_172"/>
    <x v="12"/>
  </r>
  <r>
    <n v="1087"/>
    <d v="2026-01-26T00:00:00"/>
    <d v="1899-12-30T15:51:00"/>
    <s v="Person/Merchant Payment"/>
    <x v="0"/>
    <n v="900"/>
    <s v="Person_156"/>
    <x v="12"/>
  </r>
  <r>
    <n v="1088"/>
    <d v="2026-01-27T00:00:00"/>
    <d v="1899-12-30T15:23:00"/>
    <s v="Person/Merchant Payment"/>
    <x v="0"/>
    <n v="4000"/>
    <s v="Person_45"/>
    <x v="12"/>
  </r>
  <r>
    <n v="1089"/>
    <d v="2026-01-27T00:00:00"/>
    <d v="1899-12-30T15:26:00"/>
    <s v="Money Received"/>
    <x v="1"/>
    <n v="100"/>
    <s v="Person_12"/>
    <x v="12"/>
  </r>
  <r>
    <n v="1090"/>
    <d v="2026-01-27T00:00:00"/>
    <d v="1899-12-30T15:27:00"/>
    <s v="Money Received"/>
    <x v="1"/>
    <n v="20"/>
    <s v="Person_12"/>
    <x v="12"/>
  </r>
  <r>
    <n v="1091"/>
    <d v="2026-01-28T00:00:00"/>
    <d v="1899-12-30T12:29:00"/>
    <s v="Money Received"/>
    <x v="1"/>
    <n v="5000"/>
    <s v="Person_37"/>
    <x v="12"/>
  </r>
  <r>
    <n v="1092"/>
    <d v="2026-01-28T00:00:00"/>
    <d v="1899-12-30T20:02:00"/>
    <s v="Person/Merchant Payment"/>
    <x v="0"/>
    <n v="2000"/>
    <s v="Person_17"/>
    <x v="12"/>
  </r>
  <r>
    <n v="1093"/>
    <d v="2026-01-28T00:00:00"/>
    <d v="1899-12-30T22:17:00"/>
    <s v="Person/Merchant Payment"/>
    <x v="0"/>
    <n v="3000"/>
    <s v="Person_45"/>
    <x v="12"/>
  </r>
  <r>
    <n v="1094"/>
    <d v="2026-01-29T00:00:00"/>
    <d v="1899-12-30T10:57:00"/>
    <s v="Money Received"/>
    <x v="1"/>
    <n v="80"/>
    <s v="Person_37"/>
    <x v="12"/>
  </r>
  <r>
    <n v="1095"/>
    <d v="2026-01-29T00:00:00"/>
    <d v="1899-12-30T17:42:00"/>
    <s v="Person/Merchant Payment"/>
    <x v="0"/>
    <n v="1500"/>
    <s v="Person_156"/>
    <x v="12"/>
  </r>
  <r>
    <n v="1096"/>
    <d v="2026-01-29T00:00:00"/>
    <d v="1899-12-30T18:15:00"/>
    <s v="Money Received"/>
    <x v="1"/>
    <n v="30000"/>
    <s v="Person_243"/>
    <x v="12"/>
  </r>
  <r>
    <n v="1097"/>
    <d v="2026-01-29T00:00:00"/>
    <d v="1899-12-30T20:00:00"/>
    <s v="Person/Merchant Payment"/>
    <x v="0"/>
    <n v="50"/>
    <s v="Person_220"/>
    <x v="12"/>
  </r>
  <r>
    <n v="1098"/>
    <d v="2026-01-29T00:00:00"/>
    <d v="1899-12-30T20:04:00"/>
    <s v="Person/Merchant Payment"/>
    <x v="0"/>
    <n v="200"/>
    <s v="Person_156"/>
    <x v="12"/>
  </r>
  <r>
    <n v="1099"/>
    <d v="2026-01-29T00:00:00"/>
    <d v="1899-12-30T20:12:00"/>
    <s v="Person/Merchant Payment"/>
    <x v="0"/>
    <n v="150"/>
    <s v="Person_156"/>
    <x v="12"/>
  </r>
  <r>
    <n v="1100"/>
    <d v="2026-01-29T00:00:00"/>
    <d v="1899-12-30T20:52:00"/>
    <s v="Person/Merchant Payment"/>
    <x v="0"/>
    <n v="40"/>
    <s v="Person_244"/>
    <x v="12"/>
  </r>
  <r>
    <n v="1101"/>
    <d v="2026-01-30T00:00:00"/>
    <d v="1899-12-30T09:52:00"/>
    <s v="Person/Merchant Payment"/>
    <x v="0"/>
    <n v="5000"/>
    <s v="Person_132"/>
    <x v="12"/>
  </r>
  <r>
    <n v="1102"/>
    <d v="2026-01-30T00:00:00"/>
    <d v="1899-12-30T11:20:00"/>
    <s v="Person/Merchant Payment"/>
    <x v="0"/>
    <n v="40"/>
    <s v="Person_245"/>
    <x v="12"/>
  </r>
  <r>
    <n v="1103"/>
    <d v="2026-01-30T00:00:00"/>
    <d v="1899-12-30T11:23:00"/>
    <s v="Person/Merchant Payment"/>
    <x v="0"/>
    <n v="50"/>
    <s v="Person_220"/>
    <x v="12"/>
  </r>
  <r>
    <n v="1104"/>
    <d v="2026-01-30T00:00:00"/>
    <d v="1899-12-30T13:42:00"/>
    <s v="Person/Merchant Payment"/>
    <x v="0"/>
    <n v="6000"/>
    <s v="Person_240"/>
    <x v="12"/>
  </r>
  <r>
    <n v="1105"/>
    <d v="2026-01-30T00:00:00"/>
    <d v="1899-12-30T15:19:00"/>
    <s v="Person/Merchant Payment"/>
    <x v="0"/>
    <n v="150"/>
    <s v="Person_6"/>
    <x v="12"/>
  </r>
  <r>
    <n v="1106"/>
    <d v="2026-01-31T00:00:00"/>
    <d v="1899-12-30T10:15:00"/>
    <s v="Money Received"/>
    <x v="1"/>
    <n v="5000"/>
    <s v="Person_246"/>
    <x v="12"/>
  </r>
  <r>
    <n v="1107"/>
    <d v="2026-01-31T00:00:00"/>
    <d v="1899-12-30T14:18:00"/>
    <s v="Person/Merchant Payment"/>
    <x v="0"/>
    <n v="500"/>
    <s v="Person_128"/>
    <x v="12"/>
  </r>
  <r>
    <n v="1108"/>
    <d v="2026-01-31T00:00:00"/>
    <d v="1899-12-30T15:04:00"/>
    <s v="Money Received"/>
    <x v="1"/>
    <n v="500"/>
    <s v="Person_128"/>
    <x v="12"/>
  </r>
  <r>
    <n v="1109"/>
    <d v="2026-01-31T00:00:00"/>
    <d v="1899-12-30T16:50:00"/>
    <s v="Person/Merchant Payment"/>
    <x v="0"/>
    <n v="2000"/>
    <s v="Person_2"/>
    <x v="12"/>
  </r>
  <r>
    <n v="1110"/>
    <d v="2026-01-31T00:00:00"/>
    <d v="1899-12-30T18:53:00"/>
    <s v="Money Received"/>
    <x v="1"/>
    <n v="200"/>
    <s v="Person_2"/>
    <x v="12"/>
  </r>
  <r>
    <n v="1111"/>
    <d v="2026-01-31T00:00:00"/>
    <d v="1899-12-30T19:01:00"/>
    <s v="Money Received"/>
    <x v="1"/>
    <n v="854"/>
    <s v="Person_17"/>
    <x v="12"/>
  </r>
  <r>
    <n v="1112"/>
    <d v="2026-01-31T00:00:00"/>
    <d v="1899-12-30T19:24:00"/>
    <s v="Person/Merchant Payment"/>
    <x v="0"/>
    <n v="5000"/>
    <s v="Person_172"/>
    <x v="12"/>
  </r>
  <r>
    <n v="1113"/>
    <d v="2026-01-31T00:00:00"/>
    <d v="1899-12-30T19:27:00"/>
    <s v="Person/Merchant Payment"/>
    <x v="0"/>
    <n v="578"/>
    <s v="Person_247"/>
    <x v="12"/>
  </r>
  <r>
    <n v="1114"/>
    <d v="2026-01-31T00:00:00"/>
    <d v="1899-12-30T19:27:00"/>
    <s v="Person/Merchant Payment"/>
    <x v="0"/>
    <n v="13000"/>
    <s v="Person_172"/>
    <x v="12"/>
  </r>
  <r>
    <n v="1115"/>
    <d v="2026-01-31T00:00:00"/>
    <d v="1899-12-30T19:29:00"/>
    <s v="Person/Merchant Payment"/>
    <x v="0"/>
    <n v="3500"/>
    <s v="Person_172"/>
    <x v="12"/>
  </r>
  <r>
    <n v="1116"/>
    <d v="2026-01-31T00:00:00"/>
    <d v="1899-12-30T19:57:00"/>
    <s v="Person/Merchant Payment"/>
    <x v="0"/>
    <n v="5000"/>
    <s v="Person_45"/>
    <x v="12"/>
  </r>
  <r>
    <n v="1117"/>
    <d v="2026-01-31T00:00:00"/>
    <d v="1899-12-30T22:53:00"/>
    <s v="Money Received"/>
    <x v="1"/>
    <n v="96.4"/>
    <s v="Person_181"/>
    <x v="12"/>
  </r>
  <r>
    <n v="1118"/>
    <d v="2026-02-01T00:00:00"/>
    <d v="1899-12-30T11:11:00"/>
    <s v="Person/Merchant Payment"/>
    <x v="0"/>
    <n v="31"/>
    <s v="Person_248"/>
    <x v="13"/>
  </r>
  <r>
    <n v="1119"/>
    <d v="2026-02-01T00:00:00"/>
    <d v="1899-12-30T11:34:00"/>
    <s v="Money Received"/>
    <x v="1"/>
    <n v="25"/>
    <s v="Person_17"/>
    <x v="13"/>
  </r>
  <r>
    <n v="1120"/>
    <d v="2026-02-01T00:00:00"/>
    <d v="1899-12-30T11:52:00"/>
    <s v="Person/Merchant Payment"/>
    <x v="0"/>
    <n v="13"/>
    <s v="Person_17"/>
    <x v="13"/>
  </r>
  <r>
    <n v="1121"/>
    <d v="2026-02-01T00:00:00"/>
    <d v="1899-12-30T14:00:00"/>
    <s v="Money Received"/>
    <x v="1"/>
    <n v="50000"/>
    <s v="Person_246"/>
    <x v="13"/>
  </r>
  <r>
    <n v="1122"/>
    <d v="2026-02-01T00:00:00"/>
    <d v="1899-12-30T14:08:00"/>
    <s v="Person/Merchant Payment"/>
    <x v="0"/>
    <n v="1000"/>
    <s v="Person_172"/>
    <x v="13"/>
  </r>
  <r>
    <n v="1123"/>
    <d v="2026-02-01T00:00:00"/>
    <d v="1899-12-30T17:32:00"/>
    <s v="Person/Merchant Payment"/>
    <x v="0"/>
    <n v="220"/>
    <s v="Person_249"/>
    <x v="13"/>
  </r>
  <r>
    <n v="1124"/>
    <d v="2026-02-01T00:00:00"/>
    <d v="1899-12-30T17:37:00"/>
    <s v="Person/Merchant Payment"/>
    <x v="0"/>
    <n v="442"/>
    <s v="Person_250"/>
    <x v="13"/>
  </r>
  <r>
    <n v="1125"/>
    <d v="2026-02-01T00:00:00"/>
    <d v="1899-12-30T17:56:00"/>
    <s v="Money Received"/>
    <x v="1"/>
    <n v="155"/>
    <s v="Person_50"/>
    <x v="13"/>
  </r>
  <r>
    <n v="1126"/>
    <d v="2026-02-01T00:00:00"/>
    <d v="1899-12-30T17:59:00"/>
    <s v="Person/Merchant Payment"/>
    <x v="0"/>
    <n v="155"/>
    <s v="Blinkit"/>
    <x v="13"/>
  </r>
  <r>
    <n v="1127"/>
    <d v="2026-02-01T00:00:00"/>
    <d v="1899-12-30T18:01:00"/>
    <s v="Person/Merchant Payment"/>
    <x v="0"/>
    <n v="350"/>
    <s v="Person_251"/>
    <x v="13"/>
  </r>
  <r>
    <n v="1128"/>
    <d v="2026-02-01T00:00:00"/>
    <d v="1899-12-30T18:24:00"/>
    <s v="Money Received"/>
    <x v="1"/>
    <n v="250"/>
    <s v="Person_12"/>
    <x v="13"/>
  </r>
  <r>
    <n v="1129"/>
    <d v="2026-02-01T00:00:00"/>
    <d v="1899-12-30T20:36:00"/>
    <s v="Person/Merchant Payment"/>
    <x v="0"/>
    <n v="604"/>
    <s v="Person_252"/>
    <x v="13"/>
  </r>
  <r>
    <n v="1130"/>
    <d v="2026-02-02T00:00:00"/>
    <d v="1899-12-30T09:48:00"/>
    <s v="Person/Merchant Payment"/>
    <x v="0"/>
    <n v="150"/>
    <s v="Person_50"/>
    <x v="13"/>
  </r>
  <r>
    <n v="1131"/>
    <d v="2026-02-02T00:00:00"/>
    <d v="1899-12-30T14:31:00"/>
    <s v="Person/Merchant Payment"/>
    <x v="0"/>
    <n v="18000"/>
    <s v="Person_50"/>
    <x v="13"/>
  </r>
  <r>
    <n v="1132"/>
    <d v="2026-02-02T00:00:00"/>
    <d v="1899-12-30T15:28:00"/>
    <s v="Money Received"/>
    <x v="1"/>
    <n v="50000"/>
    <s v="Person_246"/>
    <x v="13"/>
  </r>
  <r>
    <n v="1133"/>
    <d v="2026-02-02T00:00:00"/>
    <d v="1899-12-30T17:29:00"/>
    <s v="Recharge"/>
    <x v="0"/>
    <n v="899"/>
    <s v="Jio Prepaid Recharges"/>
    <x v="13"/>
  </r>
  <r>
    <n v="1134"/>
    <d v="2026-02-02T00:00:00"/>
    <d v="1899-12-30T18:21:00"/>
    <s v="Person/Merchant Payment"/>
    <x v="0"/>
    <n v="31"/>
    <s v="Person_253"/>
    <x v="13"/>
  </r>
  <r>
    <n v="1135"/>
    <d v="2026-02-03T00:00:00"/>
    <d v="1899-12-30T16:50:00"/>
    <s v="Money Received"/>
    <x v="1"/>
    <n v="41"/>
    <s v="Person_17"/>
    <x v="13"/>
  </r>
  <r>
    <n v="1136"/>
    <d v="2026-02-03T00:00:00"/>
    <d v="1899-12-30T16:56:00"/>
    <s v="Person/Merchant Payment"/>
    <x v="0"/>
    <n v="31"/>
    <s v="Person_248"/>
    <x v="13"/>
  </r>
  <r>
    <n v="1137"/>
    <d v="2026-02-03T00:00:00"/>
    <d v="1899-12-30T16:59:00"/>
    <s v="Person/Merchant Payment"/>
    <x v="0"/>
    <n v="10"/>
    <s v="Person_138"/>
    <x v="13"/>
  </r>
  <r>
    <n v="1138"/>
    <d v="2026-02-03T00:00:00"/>
    <d v="1899-12-30T21:37:00"/>
    <s v="Person/Merchant Payment"/>
    <x v="0"/>
    <n v="500"/>
    <s v="Person_254"/>
    <x v="13"/>
  </r>
  <r>
    <n v="1139"/>
    <d v="2026-02-03T00:00:00"/>
    <d v="1899-12-30T21:59:00"/>
    <s v="Person/Merchant Payment"/>
    <x v="0"/>
    <n v="2400"/>
    <s v="Person_6"/>
    <x v="13"/>
  </r>
  <r>
    <n v="1140"/>
    <d v="2026-02-03T00:00:00"/>
    <d v="1899-12-30T22:00:00"/>
    <s v="Person/Merchant Payment"/>
    <x v="0"/>
    <n v="50000"/>
    <s v="Person_255"/>
    <x v="13"/>
  </r>
  <r>
    <n v="1141"/>
    <d v="2026-02-04T00:00:00"/>
    <d v="1899-12-30T14:59:00"/>
    <s v="Person/Merchant Payment"/>
    <x v="0"/>
    <n v="13000"/>
    <s v="Person_17"/>
    <x v="13"/>
  </r>
  <r>
    <n v="1142"/>
    <d v="2026-02-04T00:00:00"/>
    <d v="1899-12-30T15:01:00"/>
    <s v="Money Received"/>
    <x v="1"/>
    <n v="7000"/>
    <s v="Person_239"/>
    <x v="13"/>
  </r>
  <r>
    <n v="1143"/>
    <d v="2026-02-04T00:00:00"/>
    <d v="1899-12-30T15:01:00"/>
    <s v="Person/Merchant Payment"/>
    <x v="0"/>
    <n v="7000"/>
    <s v="Person_17"/>
    <x v="13"/>
  </r>
  <r>
    <n v="1144"/>
    <d v="2026-02-04T00:00:00"/>
    <d v="1899-12-30T15:35:00"/>
    <s v="Money Received"/>
    <x v="1"/>
    <n v="1000"/>
    <s v="Person_37"/>
    <x v="13"/>
  </r>
  <r>
    <n v="1145"/>
    <d v="2026-02-04T00:00:00"/>
    <d v="1899-12-30T15:37:00"/>
    <s v="Person/Merchant Payment"/>
    <x v="0"/>
    <n v="1000"/>
    <s v="Person_256"/>
    <x v="13"/>
  </r>
  <r>
    <n v="1146"/>
    <d v="2026-02-04T00:00:00"/>
    <d v="1899-12-30T17:10:00"/>
    <s v="Person/Merchant Payment"/>
    <x v="0"/>
    <n v="2000"/>
    <s v="Person_17"/>
    <x v="13"/>
  </r>
  <r>
    <n v="1147"/>
    <d v="2026-02-04T00:00:00"/>
    <d v="1899-12-30T19:56:00"/>
    <s v="Person/Merchant Payment"/>
    <x v="0"/>
    <n v="100"/>
    <s v="Person_50"/>
    <x v="13"/>
  </r>
  <r>
    <n v="1148"/>
    <d v="2026-02-05T00:00:00"/>
    <d v="1899-12-30T11:00:00"/>
    <s v="Person/Merchant Payment"/>
    <x v="0"/>
    <n v="500"/>
    <s v="Person_156"/>
    <x v="13"/>
  </r>
  <r>
    <n v="1149"/>
    <d v="2026-02-05T00:00:00"/>
    <d v="1899-12-30T15:54:00"/>
    <s v="Person/Merchant Payment"/>
    <x v="0"/>
    <n v="500"/>
    <s v="Person_2"/>
    <x v="13"/>
  </r>
  <r>
    <n v="1150"/>
    <d v="2026-02-05T00:00:00"/>
    <d v="1899-12-30T16:29:00"/>
    <s v="Money Received"/>
    <x v="1"/>
    <n v="31"/>
    <s v="Person_17"/>
    <x v="13"/>
  </r>
  <r>
    <n v="1151"/>
    <d v="2026-02-05T00:00:00"/>
    <d v="1899-12-30T16:32:00"/>
    <s v="Person/Merchant Payment"/>
    <x v="0"/>
    <n v="31"/>
    <s v="Person_248"/>
    <x v="13"/>
  </r>
  <r>
    <n v="1152"/>
    <d v="2026-02-05T00:00:00"/>
    <d v="1899-12-30T16:36:00"/>
    <s v="Person/Merchant Payment"/>
    <x v="0"/>
    <n v="40"/>
    <s v="Person_257"/>
    <x v="13"/>
  </r>
  <r>
    <n v="1153"/>
    <d v="2026-02-06T00:00:00"/>
    <d v="1899-12-30T20:16:00"/>
    <s v="Money Received"/>
    <x v="1"/>
    <n v="3000"/>
    <s v="Person_37"/>
    <x v="13"/>
  </r>
  <r>
    <n v="1154"/>
    <d v="2026-02-06T00:00:00"/>
    <d v="1899-12-30T21:18:00"/>
    <s v="Money Received"/>
    <x v="1"/>
    <n v="150"/>
    <s v="Person_155"/>
    <x v="13"/>
  </r>
  <r>
    <n v="1155"/>
    <d v="2026-02-07T00:00:00"/>
    <d v="1899-12-30T15:33:00"/>
    <s v="Person/Merchant Payment"/>
    <x v="0"/>
    <n v="118"/>
    <s v="Person_258"/>
    <x v="13"/>
  </r>
  <r>
    <n v="1156"/>
    <d v="2026-02-07T00:00:00"/>
    <d v="1899-12-30T21:41:00"/>
    <s v="Money Received"/>
    <x v="1"/>
    <n v="5000"/>
    <s v="Person_17"/>
    <x v="13"/>
  </r>
  <r>
    <n v="1157"/>
    <d v="2026-02-08T00:00:00"/>
    <d v="1899-12-30T09:53:00"/>
    <s v="Person/Merchant Payment"/>
    <x v="0"/>
    <n v="1000"/>
    <s v="Person_156"/>
    <x v="13"/>
  </r>
  <r>
    <n v="1158"/>
    <d v="2026-02-08T00:00:00"/>
    <d v="1899-12-30T15:34:00"/>
    <s v="Person/Merchant Payment"/>
    <x v="0"/>
    <n v="5000"/>
    <s v="Person_172"/>
    <x v="13"/>
  </r>
  <r>
    <n v="1159"/>
    <d v="2026-02-08T00:00:00"/>
    <d v="1899-12-30T15:34:00"/>
    <s v="Money Received"/>
    <x v="1"/>
    <n v="150"/>
    <s v="Person_2"/>
    <x v="13"/>
  </r>
  <r>
    <n v="1160"/>
    <d v="2026-02-08T00:00:00"/>
    <d v="1899-12-30T15:35:00"/>
    <s v="Person/Merchant Payment"/>
    <x v="0"/>
    <n v="1182"/>
    <s v="Person_172"/>
    <x v="13"/>
  </r>
  <r>
    <n v="1161"/>
    <d v="2026-02-08T00:00:00"/>
    <d v="1899-12-30T16:16:00"/>
    <s v="Money Received"/>
    <x v="1"/>
    <n v="350"/>
    <s v="Person_17"/>
    <x v="13"/>
  </r>
  <r>
    <n v="1162"/>
    <d v="2026-02-08T00:00:00"/>
    <d v="1899-12-30T16:17:00"/>
    <s v="Person/Merchant Payment"/>
    <x v="0"/>
    <n v="350"/>
    <s v="Person_172"/>
    <x v="13"/>
  </r>
  <r>
    <n v="1163"/>
    <d v="2026-02-08T00:00:00"/>
    <d v="1899-12-30T17:21:00"/>
    <s v="Money Received"/>
    <x v="1"/>
    <n v="5000"/>
    <s v="Person_31"/>
    <x v="13"/>
  </r>
  <r>
    <n v="1164"/>
    <d v="2026-02-08T00:00:00"/>
    <d v="1899-12-30T18:25:00"/>
    <s v="Person/Merchant Payment"/>
    <x v="0"/>
    <n v="5000"/>
    <s v="Person_128"/>
    <x v="13"/>
  </r>
  <r>
    <n v="1165"/>
    <d v="2026-02-09T00:00:00"/>
    <d v="1899-12-30T11:15:00"/>
    <s v="Person/Merchant Payment"/>
    <x v="0"/>
    <n v="1500"/>
    <s v="Person_45"/>
    <x v="13"/>
  </r>
  <r>
    <n v="1166"/>
    <d v="2026-02-09T00:00:00"/>
    <d v="1899-12-30T15:16:00"/>
    <s v="Person/Merchant Payment"/>
    <x v="0"/>
    <n v="50000"/>
    <s v="Person_246"/>
    <x v="13"/>
  </r>
  <r>
    <n v="1167"/>
    <d v="2026-02-09T00:00:00"/>
    <d v="1899-12-30T23:07:00"/>
    <s v="Money Received"/>
    <x v="1"/>
    <n v="1000"/>
    <s v="Person_259"/>
    <x v="13"/>
  </r>
  <r>
    <n v="1168"/>
    <d v="2026-02-09T00:00:00"/>
    <d v="1899-12-30T23:12:00"/>
    <s v="Person/Merchant Payment"/>
    <x v="0"/>
    <n v="1000"/>
    <s v="Person_172"/>
    <x v="13"/>
  </r>
  <r>
    <n v="1169"/>
    <d v="2026-02-10T00:00:00"/>
    <d v="1899-12-30T10:19:00"/>
    <s v="Recharge"/>
    <x v="0"/>
    <n v="899"/>
    <s v="Jio Prepaid Recharges"/>
    <x v="13"/>
  </r>
  <r>
    <n v="1170"/>
    <d v="2026-02-10T00:00:00"/>
    <d v="1899-12-30T15:58:00"/>
    <s v="Money Received"/>
    <x v="1"/>
    <n v="3000"/>
    <s v="Person_246"/>
    <x v="13"/>
  </r>
  <r>
    <n v="1171"/>
    <d v="2026-02-10T00:00:00"/>
    <d v="1899-12-30T16:02:00"/>
    <s v="Person/Merchant Payment"/>
    <x v="0"/>
    <n v="5000"/>
    <s v="Person_246"/>
    <x v="13"/>
  </r>
  <r>
    <n v="1172"/>
    <d v="2026-02-10T00:00:00"/>
    <d v="1899-12-30T16:02:00"/>
    <s v="Person/Merchant Payment"/>
    <x v="0"/>
    <n v="3000"/>
    <s v="Person_246"/>
    <x v="13"/>
  </r>
  <r>
    <n v="1173"/>
    <d v="2026-02-11T00:00:00"/>
    <d v="1899-12-30T07:38:00"/>
    <s v="Person/Merchant Payment"/>
    <x v="0"/>
    <n v="1000"/>
    <s v="Person_17"/>
    <x v="13"/>
  </r>
  <r>
    <n v="1174"/>
    <d v="2026-02-11T00:00:00"/>
    <d v="1899-12-30T10:45:00"/>
    <s v="Person/Merchant Payment"/>
    <x v="0"/>
    <n v="130"/>
    <s v="Person_260"/>
    <x v="13"/>
  </r>
  <r>
    <n v="1175"/>
    <d v="2026-02-11T00:00:00"/>
    <d v="1899-12-30T13:05:00"/>
    <s v="Person/Merchant Payment"/>
    <x v="0"/>
    <n v="1000"/>
    <s v="Person_45"/>
    <x v="13"/>
  </r>
  <r>
    <n v="1176"/>
    <d v="2026-02-11T00:00:00"/>
    <d v="1899-12-30T17:37:00"/>
    <s v="Person/Merchant Payment"/>
    <x v="0"/>
    <n v="10"/>
    <s v="Person_138"/>
    <x v="13"/>
  </r>
  <r>
    <n v="1177"/>
    <d v="2026-02-11T00:00:00"/>
    <d v="1899-12-30T19:28:00"/>
    <s v="Money Received"/>
    <x v="1"/>
    <n v="6900"/>
    <s v="Person_50"/>
    <x v="13"/>
  </r>
  <r>
    <n v="1178"/>
    <d v="2026-02-11T00:00:00"/>
    <d v="1899-12-30T21:59:00"/>
    <s v="Money Received"/>
    <x v="1"/>
    <n v="1000"/>
    <s v="Person_17"/>
    <x v="13"/>
  </r>
  <r>
    <n v="1179"/>
    <d v="2026-02-11T00:00:00"/>
    <d v="1899-12-30T22:24:00"/>
    <s v="Person/Merchant Payment"/>
    <x v="0"/>
    <n v="1000"/>
    <s v="Person_172"/>
    <x v="13"/>
  </r>
  <r>
    <n v="1180"/>
    <d v="2026-02-12T00:00:00"/>
    <d v="1899-12-30T11:04:00"/>
    <s v="Person/Merchant Payment"/>
    <x v="0"/>
    <n v="60"/>
    <s v="Person_196"/>
    <x v="13"/>
  </r>
  <r>
    <n v="1181"/>
    <d v="2026-02-12T00:00:00"/>
    <d v="1899-12-30T12:20:00"/>
    <s v="Person/Merchant Payment"/>
    <x v="0"/>
    <n v="48"/>
    <s v="Person_261"/>
    <x v="13"/>
  </r>
  <r>
    <n v="1182"/>
    <d v="2026-02-12T00:00:00"/>
    <d v="1899-12-30T13:31:00"/>
    <s v="Person/Merchant Payment"/>
    <x v="0"/>
    <n v="40"/>
    <s v="Person_262"/>
    <x v="13"/>
  </r>
  <r>
    <n v="1183"/>
    <d v="2026-02-12T00:00:00"/>
    <d v="1899-12-30T13:32:00"/>
    <s v="Person/Merchant Payment"/>
    <x v="0"/>
    <n v="60"/>
    <s v="Person_196"/>
    <x v="13"/>
  </r>
  <r>
    <n v="1184"/>
    <d v="2026-02-12T00:00:00"/>
    <d v="1899-12-30T17:23:00"/>
    <s v="Money Received"/>
    <x v="1"/>
    <n v="3000"/>
    <s v="Person_12"/>
    <x v="13"/>
  </r>
  <r>
    <n v="1185"/>
    <d v="2026-02-12T00:00:00"/>
    <d v="1899-12-30T18:34:00"/>
    <s v="Person/Merchant Payment"/>
    <x v="0"/>
    <n v="980"/>
    <s v="Person_172"/>
    <x v="13"/>
  </r>
  <r>
    <n v="1186"/>
    <d v="2026-02-12T00:00:00"/>
    <d v="1899-12-30T18:34:00"/>
    <s v="Person/Merchant Payment"/>
    <x v="0"/>
    <n v="2500"/>
    <s v="Person_50"/>
    <x v="13"/>
  </r>
  <r>
    <n v="1187"/>
    <d v="2026-02-12T00:00:00"/>
    <d v="1899-12-30T23:16:00"/>
    <s v="Money Received"/>
    <x v="1"/>
    <n v="60"/>
    <s v="Person_1"/>
    <x v="13"/>
  </r>
  <r>
    <n v="1188"/>
    <d v="2026-02-13T00:00:00"/>
    <d v="1899-12-30T08:16:00"/>
    <s v="Person/Merchant Payment"/>
    <x v="0"/>
    <n v="20"/>
    <s v="Person_172"/>
    <x v="13"/>
  </r>
  <r>
    <n v="1189"/>
    <d v="2026-02-13T00:00:00"/>
    <d v="1899-12-30T21:17:00"/>
    <s v="Person/Merchant Payment"/>
    <x v="0"/>
    <n v="1000"/>
    <s v="Person_156"/>
    <x v="13"/>
  </r>
  <r>
    <n v="1190"/>
    <d v="2026-02-14T00:00:00"/>
    <d v="1899-12-30T18:21:00"/>
    <s v="Money Received"/>
    <x v="1"/>
    <n v="2000"/>
    <s v="Person_246"/>
    <x v="13"/>
  </r>
  <r>
    <n v="1191"/>
    <d v="2026-02-15T00:00:00"/>
    <d v="1899-12-30T17:48:00"/>
    <s v="Person/Merchant Payment"/>
    <x v="0"/>
    <n v="31"/>
    <s v="Person_248"/>
    <x v="13"/>
  </r>
  <r>
    <n v="1192"/>
    <d v="2026-02-15T00:00:00"/>
    <d v="1899-12-30T19:40:00"/>
    <s v="Money Received"/>
    <x v="1"/>
    <n v="15000"/>
    <s v="Person_17"/>
    <x v="13"/>
  </r>
  <r>
    <n v="1193"/>
    <d v="2026-02-15T00:00:00"/>
    <d v="1899-12-30T19:49:00"/>
    <s v="Person/Merchant Payment"/>
    <x v="0"/>
    <n v="7000"/>
    <s v="Person_238"/>
    <x v="13"/>
  </r>
  <r>
    <n v="1194"/>
    <d v="2026-02-15T00:00:00"/>
    <d v="1899-12-30T20:13:00"/>
    <s v="Person/Merchant Payment"/>
    <x v="0"/>
    <n v="300"/>
    <s v="Person_156"/>
    <x v="13"/>
  </r>
  <r>
    <n v="1195"/>
    <d v="2026-02-15T00:00:00"/>
    <d v="1899-12-30T23:28:00"/>
    <s v="Person/Merchant Payment"/>
    <x v="0"/>
    <n v="10000"/>
    <s v="Person_172"/>
    <x v="13"/>
  </r>
  <r>
    <n v="1196"/>
    <d v="2026-02-16T00:00:00"/>
    <d v="1899-12-30T14:03:00"/>
    <s v="Person/Merchant Payment"/>
    <x v="0"/>
    <n v="2000"/>
    <s v="Person_246"/>
    <x v="13"/>
  </r>
  <r>
    <n v="1197"/>
    <d v="2026-02-16T00:00:00"/>
    <d v="1899-12-30T20:33:00"/>
    <s v="Money Received"/>
    <x v="1"/>
    <n v="351"/>
    <s v="Person_263"/>
    <x v="13"/>
  </r>
  <r>
    <n v="1198"/>
    <d v="2026-02-17T00:00:00"/>
    <d v="1899-12-30T11:59:00"/>
    <s v="Person/Merchant Payment"/>
    <x v="0"/>
    <n v="43"/>
    <s v="Person_138"/>
    <x v="13"/>
  </r>
  <r>
    <n v="1199"/>
    <d v="2026-02-18T00:00:00"/>
    <d v="1899-12-30T15:17:00"/>
    <s v="Money Received"/>
    <x v="1"/>
    <n v="5000"/>
    <s v="Person_264"/>
    <x v="13"/>
  </r>
  <r>
    <n v="1200"/>
    <d v="2026-02-18T00:00:00"/>
    <d v="1899-12-30T16:51:00"/>
    <s v="Money Received"/>
    <x v="1"/>
    <n v="100"/>
    <s v="Person_128"/>
    <x v="13"/>
  </r>
  <r>
    <n v="1201"/>
    <d v="2026-02-18T00:00:00"/>
    <d v="1899-12-30T18:24:00"/>
    <s v="Person/Merchant Payment"/>
    <x v="0"/>
    <n v="45"/>
    <s v="Person_257"/>
    <x v="13"/>
  </r>
  <r>
    <n v="1202"/>
    <d v="2026-02-18T00:00:00"/>
    <d v="1899-12-30T18:32:00"/>
    <s v="Money Received"/>
    <x v="1"/>
    <n v="100"/>
    <s v="Person_37"/>
    <x v="13"/>
  </r>
  <r>
    <n v="1203"/>
    <d v="2026-02-18T00:00:00"/>
    <d v="1899-12-30T18:35:00"/>
    <s v="Person/Merchant Payment"/>
    <x v="0"/>
    <n v="70"/>
    <s v="Person_207"/>
    <x v="13"/>
  </r>
  <r>
    <n v="1204"/>
    <d v="2026-02-18T00:00:00"/>
    <d v="1899-12-30T18:45:00"/>
    <s v="Person/Merchant Payment"/>
    <x v="0"/>
    <n v="50"/>
    <s v="Person_253"/>
    <x v="13"/>
  </r>
  <r>
    <n v="1205"/>
    <d v="2026-02-18T00:00:00"/>
    <d v="1899-12-30T18:48:00"/>
    <s v="Person/Merchant Payment"/>
    <x v="0"/>
    <n v="10"/>
    <s v="Person_158"/>
    <x v="13"/>
  </r>
  <r>
    <n v="1206"/>
    <d v="2026-02-18T00:00:00"/>
    <d v="1899-12-30T18:54:00"/>
    <s v="Person/Merchant Payment"/>
    <x v="0"/>
    <n v="5000"/>
    <s v="Person_172"/>
    <x v="13"/>
  </r>
  <r>
    <n v="1207"/>
    <d v="2026-02-19T00:00:00"/>
    <d v="1899-12-30T12:13:00"/>
    <s v="Person/Merchant Payment"/>
    <x v="0"/>
    <n v="5000"/>
    <s v="Person_156"/>
    <x v="13"/>
  </r>
  <r>
    <n v="1208"/>
    <d v="2026-02-19T00:00:00"/>
    <d v="1899-12-30T12:57:00"/>
    <s v="Person/Merchant Payment"/>
    <x v="0"/>
    <n v="500"/>
    <s v="Person_45"/>
    <x v="13"/>
  </r>
  <r>
    <n v="1209"/>
    <d v="2026-02-21T00:00:00"/>
    <d v="1899-12-30T12:22:00"/>
    <s v="Person/Merchant Payment"/>
    <x v="0"/>
    <n v="5000"/>
    <s v="Person_264"/>
    <x v="13"/>
  </r>
  <r>
    <n v="1210"/>
    <d v="2026-02-21T00:00:00"/>
    <d v="1899-12-30T17:11:00"/>
    <s v="Money Received"/>
    <x v="1"/>
    <n v="1000"/>
    <s v="Person_12"/>
    <x v="13"/>
  </r>
  <r>
    <n v="1211"/>
    <d v="2026-02-21T00:00:00"/>
    <d v="1899-12-30T21:52:00"/>
    <s v="Person/Merchant Payment"/>
    <x v="0"/>
    <n v="5"/>
    <s v="Person_138"/>
    <x v="13"/>
  </r>
  <r>
    <n v="1212"/>
    <d v="2026-02-22T00:00:00"/>
    <d v="1899-12-30T20:02:00"/>
    <s v="Person/Merchant Payment"/>
    <x v="0"/>
    <n v="8"/>
    <s v="Person_180"/>
    <x v="13"/>
  </r>
  <r>
    <n v="1213"/>
    <d v="2026-02-23T00:00:00"/>
    <d v="1899-12-30T06:53:00"/>
    <s v="Food &amp; Dining"/>
    <x v="0"/>
    <n v="20"/>
    <s v="Person_265"/>
    <x v="13"/>
  </r>
  <r>
    <n v="1214"/>
    <d v="2026-02-23T00:00:00"/>
    <d v="1899-12-30T07:21:00"/>
    <s v="Food &amp; Dining"/>
    <x v="0"/>
    <n v="20"/>
    <s v="Person_265"/>
    <x v="13"/>
  </r>
  <r>
    <n v="1215"/>
    <d v="2026-02-23T00:00:00"/>
    <d v="1899-12-30T13:30:00"/>
    <s v="Person/Merchant Payment"/>
    <x v="0"/>
    <n v="80"/>
    <s v="Person_266"/>
    <x v="13"/>
  </r>
  <r>
    <n v="1216"/>
    <d v="2026-02-24T00:00:00"/>
    <d v="1899-12-30T11:53:00"/>
    <s v="Person/Merchant Payment"/>
    <x v="0"/>
    <n v="500"/>
    <s v="Person_198"/>
    <x v="13"/>
  </r>
  <r>
    <n v="1217"/>
    <d v="2026-02-24T00:00:00"/>
    <d v="1899-12-30T14:52:00"/>
    <s v="Money Received"/>
    <x v="1"/>
    <n v="1000"/>
    <s v="Person_37"/>
    <x v="13"/>
  </r>
  <r>
    <n v="1218"/>
    <d v="2026-02-25T00:00:00"/>
    <d v="1899-12-30T10:55:00"/>
    <s v="Others"/>
    <x v="0"/>
    <n v="200"/>
    <s v="Person_267"/>
    <x v="13"/>
  </r>
  <r>
    <n v="1219"/>
    <d v="2026-02-25T00:00:00"/>
    <d v="1899-12-30T10:56:00"/>
    <s v="Person/Merchant Payment"/>
    <x v="0"/>
    <n v="500"/>
    <s v="Person_172"/>
    <x v="13"/>
  </r>
  <r>
    <n v="1220"/>
    <d v="2026-02-25T00:00:00"/>
    <d v="1899-12-30T11:53:00"/>
    <s v="Money Received"/>
    <x v="1"/>
    <n v="500"/>
    <s v="Person_268"/>
    <x v="13"/>
  </r>
  <r>
    <n v="1221"/>
    <d v="2026-02-25T00:00:00"/>
    <d v="1899-12-30T11:57:00"/>
    <s v="Person/Merchant Payment"/>
    <x v="0"/>
    <n v="500"/>
    <s v="Person_2"/>
    <x v="13"/>
  </r>
  <r>
    <n v="1222"/>
    <d v="2026-02-25T00:00:00"/>
    <d v="1899-12-30T13:06:00"/>
    <s v="Person/Merchant Payment"/>
    <x v="0"/>
    <n v="300"/>
    <s v="Person_269"/>
    <x v="13"/>
  </r>
  <r>
    <n v="1223"/>
    <d v="2026-02-25T00:00:00"/>
    <d v="1899-12-30T13:46:00"/>
    <s v="Person/Merchant Payment"/>
    <x v="0"/>
    <n v="30"/>
    <s v="Person_270"/>
    <x v="13"/>
  </r>
  <r>
    <n v="1224"/>
    <d v="2026-02-25T00:00:00"/>
    <d v="1899-12-30T14:49:00"/>
    <s v="Person/Merchant Payment"/>
    <x v="0"/>
    <n v="829.06"/>
    <s v="Person_102"/>
    <x v="13"/>
  </r>
  <r>
    <n v="1225"/>
    <d v="2026-02-25T00:00:00"/>
    <d v="1899-12-30T15:00:00"/>
    <s v="Money Received"/>
    <x v="1"/>
    <n v="200"/>
    <s v="Person_17"/>
    <x v="13"/>
  </r>
  <r>
    <n v="1226"/>
    <d v="2026-02-25T00:00:00"/>
    <d v="1899-12-30T15:09:00"/>
    <s v="Person/Merchant Payment"/>
    <x v="0"/>
    <n v="50"/>
    <s v="Person_271"/>
    <x v="13"/>
  </r>
  <r>
    <n v="1227"/>
    <d v="2026-02-25T00:00:00"/>
    <d v="1899-12-30T20:50:00"/>
    <s v="Person/Merchant Payment"/>
    <x v="0"/>
    <n v="4000"/>
    <s v="Person_156"/>
    <x v="13"/>
  </r>
  <r>
    <n v="1228"/>
    <d v="2026-02-25T00:00:00"/>
    <d v="1899-12-30T20:52:00"/>
    <s v="Person/Merchant Payment"/>
    <x v="0"/>
    <n v="500"/>
    <s v="Person_156"/>
    <x v="13"/>
  </r>
  <r>
    <n v="1229"/>
    <d v="2026-02-26T00:00:00"/>
    <d v="1899-12-30T12:42:00"/>
    <s v="Person/Merchant Payment"/>
    <x v="0"/>
    <n v="500"/>
    <s v="Person_45"/>
    <x v="13"/>
  </r>
  <r>
    <n v="1230"/>
    <d v="2026-02-26T00:00:00"/>
    <d v="1899-12-30T16:23:00"/>
    <s v="Person/Merchant Payment"/>
    <x v="0"/>
    <n v="31"/>
    <s v="Person_17"/>
    <x v="13"/>
  </r>
  <r>
    <n v="1231"/>
    <d v="2026-02-26T00:00:00"/>
    <d v="1899-12-30T19:41:00"/>
    <s v="Person/Merchant Payment"/>
    <x v="0"/>
    <n v="200"/>
    <s v="Person_6"/>
    <x v="13"/>
  </r>
  <r>
    <n v="1232"/>
    <d v="2026-02-27T00:00:00"/>
    <d v="1899-12-30T06:34:00"/>
    <s v="Person/Merchant Payment"/>
    <x v="0"/>
    <n v="300"/>
    <s v="Person_272"/>
    <x v="13"/>
  </r>
  <r>
    <n v="1233"/>
    <d v="2026-02-27T00:00:00"/>
    <d v="1899-12-30T11:01:00"/>
    <s v="Person/Merchant Payment"/>
    <x v="0"/>
    <n v="200"/>
    <s v="Person_45"/>
    <x v="13"/>
  </r>
  <r>
    <n v="1234"/>
    <d v="2026-02-27T00:00:00"/>
    <d v="1899-12-30T17:00:00"/>
    <s v="Person/Merchant Payment"/>
    <x v="0"/>
    <n v="10"/>
    <s v="Person_138"/>
    <x v="13"/>
  </r>
  <r>
    <n v="1235"/>
    <d v="2026-02-28T00:00:00"/>
    <d v="1899-12-30T16:34:00"/>
    <s v="Person/Merchant Payment"/>
    <x v="0"/>
    <n v="500"/>
    <s v="Person_273"/>
    <x v="13"/>
  </r>
  <r>
    <n v="1236"/>
    <d v="2026-02-28T00:00:00"/>
    <d v="1899-12-30T17:34:00"/>
    <s v="Person/Merchant Payment"/>
    <x v="0"/>
    <n v="700"/>
    <s v="Person_193"/>
    <x v="13"/>
  </r>
  <r>
    <n v="1237"/>
    <d v="2026-02-28T00:00:00"/>
    <d v="1899-12-30T17:34:00"/>
    <s v="Person/Merchant Payment"/>
    <x v="0"/>
    <n v="100"/>
    <s v="Person_50"/>
    <x v="13"/>
  </r>
  <r>
    <n v="1238"/>
    <d v="2026-02-28T00:00:00"/>
    <d v="1899-12-30T17:34:00"/>
    <s v="Person/Merchant Payment"/>
    <x v="0"/>
    <n v="9000"/>
    <s v="Person_45"/>
    <x v="13"/>
  </r>
  <r>
    <n v="1239"/>
    <d v="2026-02-28T00:00:00"/>
    <d v="1899-12-30T17:35:00"/>
    <s v="Person/Merchant Payment"/>
    <x v="0"/>
    <n v="200"/>
    <s v="Person_193"/>
    <x v="13"/>
  </r>
  <r>
    <n v="1240"/>
    <d v="2026-02-28T00:00:00"/>
    <d v="1899-12-30T17:40:00"/>
    <s v="Person/Merchant Payment"/>
    <x v="0"/>
    <n v="1000"/>
    <s v="Person_45"/>
    <x v="13"/>
  </r>
  <r>
    <n v="1241"/>
    <d v="2026-02-28T00:00:00"/>
    <d v="1899-12-30T17:48:00"/>
    <s v="Money Received"/>
    <x v="1"/>
    <n v="1000"/>
    <s v="Person_37"/>
    <x v="13"/>
  </r>
  <r>
    <n v="1242"/>
    <d v="2026-02-28T00:00:00"/>
    <d v="1899-12-30T19:20:00"/>
    <s v="Money Received"/>
    <x v="1"/>
    <n v="2000"/>
    <s v="Person_17"/>
    <x v="13"/>
  </r>
  <r>
    <n v="1243"/>
    <d v="2026-02-28T00:00:00"/>
    <d v="1899-12-30T19:20:00"/>
    <s v="Person/Merchant Payment"/>
    <x v="0"/>
    <n v="2000"/>
    <s v="Person_128"/>
    <x v="13"/>
  </r>
  <r>
    <n v="1244"/>
    <d v="2026-02-28T00:00:00"/>
    <d v="1899-12-30T19:21:00"/>
    <s v="Person/Merchant Payment"/>
    <x v="0"/>
    <n v="500"/>
    <s v="Person_193"/>
    <x v="13"/>
  </r>
  <r>
    <n v="1245"/>
    <d v="2026-03-01T00:00:00"/>
    <d v="1899-12-30T12:52:00"/>
    <s v="Money Received"/>
    <x v="1"/>
    <n v="1000"/>
    <s v="Person_37"/>
    <x v="14"/>
  </r>
  <r>
    <n v="1246"/>
    <d v="2026-03-01T00:00:00"/>
    <d v="1899-12-30T12:59:00"/>
    <s v="Person/Merchant Payment"/>
    <x v="0"/>
    <n v="1000"/>
    <s v="Person_274"/>
    <x v="14"/>
  </r>
  <r>
    <n v="1247"/>
    <d v="2026-03-01T00:00:00"/>
    <d v="1899-12-30T21:58:00"/>
    <s v="Person/Merchant Payment"/>
    <x v="0"/>
    <n v="1000"/>
    <s v="Person_6"/>
    <x v="14"/>
  </r>
  <r>
    <n v="1248"/>
    <d v="2026-03-01T00:00:00"/>
    <d v="1899-12-30T21:59:00"/>
    <s v="Person/Merchant Payment"/>
    <x v="0"/>
    <n v="3000"/>
    <s v="Person_67"/>
    <x v="14"/>
  </r>
  <r>
    <n v="1249"/>
    <d v="2026-03-01T00:00:00"/>
    <d v="1899-12-30T21:59:00"/>
    <s v="Person/Merchant Payment"/>
    <x v="0"/>
    <n v="2000"/>
    <s v="Person_67"/>
    <x v="14"/>
  </r>
  <r>
    <n v="1250"/>
    <d v="2026-03-02T00:00:00"/>
    <d v="1899-12-30T12:49:00"/>
    <s v="Person/Merchant Payment"/>
    <x v="0"/>
    <n v="100"/>
    <s v="Person_45"/>
    <x v="14"/>
  </r>
  <r>
    <n v="1251"/>
    <d v="2026-03-02T00:00:00"/>
    <d v="1899-12-30T18:18:00"/>
    <s v="Person/Merchant Payment"/>
    <x v="0"/>
    <n v="20"/>
    <s v="Person_50"/>
    <x v="14"/>
  </r>
  <r>
    <n v="1252"/>
    <d v="2026-03-03T00:00:00"/>
    <d v="1899-12-30T11:02:00"/>
    <s v="Money Received"/>
    <x v="1"/>
    <n v="100"/>
    <s v="Person_37"/>
    <x v="14"/>
  </r>
  <r>
    <n v="1253"/>
    <d v="2026-03-03T00:00:00"/>
    <d v="1899-12-30T18:39:00"/>
    <s v="Person/Merchant Payment"/>
    <x v="0"/>
    <n v="31"/>
    <s v="Person_248"/>
    <x v="14"/>
  </r>
  <r>
    <n v="1254"/>
    <d v="2026-03-04T00:00:00"/>
    <d v="1899-12-30T07:28:00"/>
    <s v="Money Received"/>
    <x v="1"/>
    <n v="300"/>
    <s v="Person_155"/>
    <x v="14"/>
  </r>
  <r>
    <n v="1255"/>
    <d v="2026-03-04T00:00:00"/>
    <d v="1899-12-30T07:30:00"/>
    <s v="Others"/>
    <x v="0"/>
    <n v="300"/>
    <s v="Person_267"/>
    <x v="14"/>
  </r>
  <r>
    <n v="1256"/>
    <d v="2026-03-04T00:00:00"/>
    <d v="1899-12-30T21:13:00"/>
    <s v="Person/Merchant Payment"/>
    <x v="0"/>
    <n v="240"/>
    <s v="Person_240"/>
    <x v="14"/>
  </r>
  <r>
    <n v="1257"/>
    <d v="2026-03-07T00:00:00"/>
    <d v="1899-12-30T11:14:00"/>
    <s v="Shopping"/>
    <x v="0"/>
    <n v="240"/>
    <s v="Flipkart Payments"/>
    <x v="14"/>
  </r>
  <r>
    <n v="1258"/>
    <d v="2026-03-07T00:00:00"/>
    <d v="1899-12-30T16:29:00"/>
    <s v="Person/Merchant Payment"/>
    <x v="0"/>
    <n v="50"/>
    <s v="Person_169"/>
    <x v="14"/>
  </r>
  <r>
    <n v="1259"/>
    <d v="2026-03-07T00:00:00"/>
    <d v="1899-12-30T19:21:00"/>
    <s v="Money Received"/>
    <x v="1"/>
    <n v="1000"/>
    <s v="Person_275"/>
    <x v="14"/>
  </r>
  <r>
    <n v="1260"/>
    <d v="2026-03-08T00:00:00"/>
    <d v="1899-12-30T09:08:00"/>
    <s v="Money Received"/>
    <x v="1"/>
    <n v="490.4"/>
    <s v="Person_187"/>
    <x v="14"/>
  </r>
  <r>
    <n v="1261"/>
    <d v="2026-03-08T00:00:00"/>
    <d v="1899-12-30T09:59:00"/>
    <s v="Person/Merchant Payment"/>
    <x v="0"/>
    <n v="147"/>
    <s v="Person_276"/>
    <x v="14"/>
  </r>
  <r>
    <n v="1262"/>
    <d v="2026-03-08T00:00:00"/>
    <d v="1899-12-30T10:05:00"/>
    <s v="Person/Merchant Payment"/>
    <x v="0"/>
    <n v="1000"/>
    <s v="Person_277"/>
    <x v="14"/>
  </r>
  <r>
    <n v="1263"/>
    <d v="2026-03-08T00:00:00"/>
    <d v="1899-12-30T10:30:00"/>
    <s v="Person/Merchant Payment"/>
    <x v="0"/>
    <n v="300"/>
    <s v="Person_156"/>
    <x v="14"/>
  </r>
  <r>
    <n v="1264"/>
    <d v="2026-03-08T00:00:00"/>
    <d v="1899-12-30T13:27:00"/>
    <s v="Person/Merchant Payment"/>
    <x v="0"/>
    <n v="200"/>
    <s v="Person_156"/>
    <x v="14"/>
  </r>
  <r>
    <n v="1265"/>
    <d v="2026-03-08T00:00:00"/>
    <d v="1899-12-30T13:27:00"/>
    <s v="Money Received"/>
    <x v="1"/>
    <n v="100"/>
    <s v="Person_37"/>
    <x v="14"/>
  </r>
  <r>
    <n v="1266"/>
    <d v="2026-03-08T00:00:00"/>
    <d v="1899-12-30T14:11:00"/>
    <s v="Person/Merchant Payment"/>
    <x v="0"/>
    <n v="157"/>
    <s v="Person_278"/>
    <x v="14"/>
  </r>
  <r>
    <n v="1267"/>
    <d v="2026-03-08T00:00:00"/>
    <d v="1899-12-30T14:14:00"/>
    <s v="Person/Merchant Payment"/>
    <x v="0"/>
    <n v="10"/>
    <s v="Person_278"/>
    <x v="14"/>
  </r>
  <r>
    <n v="1268"/>
    <d v="2026-03-08T00:00:00"/>
    <d v="1899-12-30T14:33:00"/>
    <s v="Person/Merchant Payment"/>
    <x v="0"/>
    <n v="80"/>
    <s v="Person_225"/>
    <x v="14"/>
  </r>
  <r>
    <n v="1269"/>
    <d v="2026-03-09T00:00:00"/>
    <d v="1899-12-30T21:01:00"/>
    <s v="Person/Merchant Payment"/>
    <x v="0"/>
    <n v="500"/>
    <s v="Person_279"/>
    <x v="14"/>
  </r>
  <r>
    <n v="1270"/>
    <d v="2026-03-10T00:00:00"/>
    <d v="1899-12-30T12:37:00"/>
    <s v="Person/Merchant Payment"/>
    <x v="0"/>
    <n v="4500"/>
    <s v="Person_12"/>
    <x v="14"/>
  </r>
  <r>
    <n v="1271"/>
    <d v="2026-03-13T00:00:00"/>
    <d v="1899-12-30T18:47:00"/>
    <s v="Money Received"/>
    <x v="1"/>
    <n v="1500"/>
    <s v="Person_280"/>
    <x v="14"/>
  </r>
  <r>
    <n v="1272"/>
    <d v="2026-03-13T00:00:00"/>
    <d v="1899-12-30T20:09:00"/>
    <s v="Money Received"/>
    <x v="1"/>
    <n v="5"/>
    <s v="Person_281"/>
    <x v="14"/>
  </r>
  <r>
    <n v="1273"/>
    <d v="2026-03-14T00:00:00"/>
    <d v="1899-12-30T14:12:00"/>
    <s v="UPI Lite Top-up"/>
    <x v="0"/>
    <n v="2000"/>
    <s v="Person_4"/>
    <x v="14"/>
  </r>
  <r>
    <n v="1274"/>
    <d v="2026-03-14T00:00:00"/>
    <d v="1899-12-30T17:19:00"/>
    <s v="Person/Merchant Payment"/>
    <x v="0"/>
    <n v="10"/>
    <s v="Person_147"/>
    <x v="14"/>
  </r>
  <r>
    <n v="1275"/>
    <d v="2026-03-14T00:00:00"/>
    <d v="1899-12-30T17:32:00"/>
    <s v="Person/Merchant Payment"/>
    <x v="0"/>
    <n v="10"/>
    <s v="Person_138"/>
    <x v="14"/>
  </r>
  <r>
    <n v="1276"/>
    <d v="2026-03-14T00:00:00"/>
    <d v="1899-12-30T20:32:00"/>
    <s v="Person/Merchant Payment"/>
    <x v="0"/>
    <n v="60"/>
    <s v="Person_201"/>
    <x v="14"/>
  </r>
  <r>
    <n v="1277"/>
    <d v="2026-03-14T00:00:00"/>
    <d v="1899-12-30T21:09:00"/>
    <s v="Money Received"/>
    <x v="1"/>
    <n v="60"/>
    <s v="Person_1"/>
    <x v="14"/>
  </r>
  <r>
    <n v="1278"/>
    <d v="2026-03-14T00:00:00"/>
    <d v="1899-12-30T22:58:00"/>
    <s v="Person/Merchant Payment"/>
    <x v="0"/>
    <n v="4"/>
    <s v="Person_138"/>
    <x v="14"/>
  </r>
  <r>
    <n v="1279"/>
    <d v="2026-03-15T00:00:00"/>
    <d v="1899-12-30T13:44:00"/>
    <s v="Money Received"/>
    <x v="1"/>
    <n v="2000"/>
    <s v="Person_17"/>
    <x v="14"/>
  </r>
  <r>
    <n v="1280"/>
    <d v="2026-03-15T00:00:00"/>
    <d v="1899-12-30T16:00:00"/>
    <s v="Person/Merchant Payment"/>
    <x v="0"/>
    <n v="20"/>
    <s v="Person_17"/>
    <x v="14"/>
  </r>
  <r>
    <n v="1281"/>
    <d v="2026-03-15T00:00:00"/>
    <d v="1899-12-30T21:45:00"/>
    <s v="Money Received"/>
    <x v="1"/>
    <n v="200"/>
    <s v="Person_101"/>
    <x v="14"/>
  </r>
  <r>
    <n v="1282"/>
    <d v="2026-03-16T00:00:00"/>
    <d v="1899-12-30T14:30:00"/>
    <s v="Person/Merchant Payment"/>
    <x v="0"/>
    <n v="300"/>
    <s v="Person_282"/>
    <x v="14"/>
  </r>
  <r>
    <n v="1283"/>
    <d v="2026-03-16T00:00:00"/>
    <d v="1899-12-30T14:40:00"/>
    <s v="Person/Merchant Payment"/>
    <x v="0"/>
    <n v="600"/>
    <s v="Person_283"/>
    <x v="14"/>
  </r>
  <r>
    <n v="1284"/>
    <d v="2026-03-16T00:00:00"/>
    <d v="1899-12-30T14:51:00"/>
    <s v="Person/Merchant Payment"/>
    <x v="0"/>
    <n v="400"/>
    <s v="Person_284"/>
    <x v="14"/>
  </r>
  <r>
    <n v="1285"/>
    <d v="2026-03-16T00:00:00"/>
    <d v="1899-12-30T15:00:00"/>
    <s v="Person/Merchant Payment"/>
    <x v="0"/>
    <n v="200"/>
    <s v="Person_285"/>
    <x v="14"/>
  </r>
  <r>
    <n v="1286"/>
    <d v="2026-03-16T00:00:00"/>
    <d v="1899-12-30T15:04:00"/>
    <s v="Person/Merchant Payment"/>
    <x v="0"/>
    <n v="200"/>
    <s v="Person_286"/>
    <x v="14"/>
  </r>
  <r>
    <n v="1287"/>
    <d v="2026-03-16T00:00:00"/>
    <d v="1899-12-30T15:08:00"/>
    <s v="Food &amp; Dining"/>
    <x v="0"/>
    <n v="20"/>
    <s v="Person_287"/>
    <x v="14"/>
  </r>
  <r>
    <n v="1288"/>
    <d v="2026-03-16T00:00:00"/>
    <d v="1899-12-30T18:25:00"/>
    <s v="Person/Merchant Payment"/>
    <x v="0"/>
    <n v="30"/>
    <s v="Person_17"/>
    <x v="14"/>
  </r>
  <r>
    <n v="1289"/>
    <d v="2026-03-16T00:00:00"/>
    <d v="1899-12-30T18:30:00"/>
    <s v="Money Received"/>
    <x v="1"/>
    <n v="30"/>
    <s v="Person_17"/>
    <x v="14"/>
  </r>
  <r>
    <n v="1290"/>
    <d v="2026-03-16T00:00:00"/>
    <d v="1899-12-30T18:35:00"/>
    <s v="Person/Merchant Payment"/>
    <x v="0"/>
    <n v="51"/>
    <s v="Person_248"/>
    <x v="14"/>
  </r>
  <r>
    <n v="1291"/>
    <d v="2026-03-16T00:00:00"/>
    <d v="1899-12-30T18:42:00"/>
    <s v="Person/Merchant Payment"/>
    <x v="0"/>
    <n v="10"/>
    <s v="Person_147"/>
    <x v="14"/>
  </r>
  <r>
    <n v="1292"/>
    <d v="2026-03-16T00:00:00"/>
    <d v="1899-12-30T19:16:00"/>
    <s v="Person/Merchant Payment"/>
    <x v="0"/>
    <n v="200"/>
    <s v="Person_2"/>
    <x v="14"/>
  </r>
  <r>
    <n v="1293"/>
    <d v="2026-03-23T00:00:00"/>
    <d v="1899-12-30T00:28:00"/>
    <s v="Person/Merchant Payment"/>
    <x v="0"/>
    <n v="370"/>
    <s v="Person_67"/>
    <x v="14"/>
  </r>
  <r>
    <n v="1294"/>
    <d v="2026-03-23T00:00:00"/>
    <d v="1899-12-30T18:49:00"/>
    <s v="Person/Merchant Payment"/>
    <x v="0"/>
    <n v="20"/>
    <s v="Person_226"/>
    <x v="14"/>
  </r>
  <r>
    <n v="1295"/>
    <d v="2026-03-23T00:00:00"/>
    <d v="1899-12-30T18:51:00"/>
    <s v="Person/Merchant Payment"/>
    <x v="0"/>
    <n v="25"/>
    <s v="Person_288"/>
    <x v="14"/>
  </r>
  <r>
    <n v="1296"/>
    <d v="2026-03-23T00:00:00"/>
    <d v="1899-12-30T18:52:00"/>
    <s v="Person/Merchant Payment"/>
    <x v="0"/>
    <n v="10"/>
    <s v="Person_289"/>
    <x v="14"/>
  </r>
  <r>
    <n v="1297"/>
    <d v="2026-03-23T00:00:00"/>
    <d v="1899-12-30T20:36:00"/>
    <s v="Person/Merchant Payment"/>
    <x v="0"/>
    <n v="3000"/>
    <s v="Person_2"/>
    <x v="14"/>
  </r>
  <r>
    <n v="1298"/>
    <d v="2026-03-24T00:00:00"/>
    <d v="1899-12-30T18:15:00"/>
    <s v="Money Received"/>
    <x v="1"/>
    <n v="256.39999999999998"/>
    <s v="Person_187"/>
    <x v="14"/>
  </r>
  <r>
    <n v="1299"/>
    <d v="2026-03-24T00:00:00"/>
    <d v="1899-12-30T18:21:00"/>
    <s v="Person/Merchant Payment"/>
    <x v="0"/>
    <n v="31"/>
    <s v="Person_248"/>
    <x v="14"/>
  </r>
  <r>
    <n v="1300"/>
    <d v="2026-03-24T00:00:00"/>
    <d v="1899-12-30T20:34:00"/>
    <s v="Person/Merchant Payment"/>
    <x v="0"/>
    <n v="155"/>
    <s v="Person_230"/>
    <x v="14"/>
  </r>
  <r>
    <n v="1301"/>
    <d v="2026-03-25T00:00:00"/>
    <d v="1899-12-30T08:35:00"/>
    <s v="Person/Merchant Payment"/>
    <x v="0"/>
    <n v="10"/>
    <s v="Person_138"/>
    <x v="14"/>
  </r>
  <r>
    <n v="1302"/>
    <d v="2026-03-25T00:00:00"/>
    <d v="1899-12-30T19:47:00"/>
    <s v="Money Received"/>
    <x v="1"/>
    <n v="5000"/>
    <s v="Person_17"/>
    <x v="14"/>
  </r>
  <r>
    <n v="1303"/>
    <d v="2026-03-25T00:00:00"/>
    <d v="1899-12-30T20:07:00"/>
    <s v="Person/Merchant Payment"/>
    <x v="0"/>
    <n v="5000"/>
    <s v="Person_172"/>
    <x v="14"/>
  </r>
  <r>
    <n v="1304"/>
    <d v="2026-03-26T00:00:00"/>
    <d v="1899-12-30T10:06:00"/>
    <s v="Person/Merchant Payment"/>
    <x v="0"/>
    <n v="10"/>
    <s v="Person_147"/>
    <x v="14"/>
  </r>
  <r>
    <n v="1305"/>
    <d v="2026-03-26T00:00:00"/>
    <d v="1899-12-30T19:13:00"/>
    <s v="Person/Merchant Payment"/>
    <x v="0"/>
    <n v="112"/>
    <s v="Zepto Marketplace Private Limited"/>
    <x v="14"/>
  </r>
  <r>
    <n v="1306"/>
    <d v="2026-03-26T00:00:00"/>
    <d v="1899-12-30T21:55:00"/>
    <s v="Money Received"/>
    <x v="1"/>
    <n v="112"/>
    <s v="Person_50"/>
    <x v="14"/>
  </r>
  <r>
    <n v="1307"/>
    <d v="2026-03-28T00:00:00"/>
    <d v="1899-12-30T11:50:00"/>
    <s v="Person/Merchant Payment"/>
    <x v="0"/>
    <n v="204.7"/>
    <s v="Person_26"/>
    <x v="14"/>
  </r>
  <r>
    <n v="1308"/>
    <d v="2026-03-28T00:00:00"/>
    <d v="1899-12-30T12:16:00"/>
    <s v="Person/Merchant Payment"/>
    <x v="0"/>
    <n v="136.46"/>
    <s v="Person_26"/>
    <x v="14"/>
  </r>
  <r>
    <n v="1309"/>
    <d v="2026-03-28T00:00:00"/>
    <d v="1899-12-30T12:56:00"/>
    <s v="Person/Merchant Payment"/>
    <x v="0"/>
    <n v="24"/>
    <s v="Person_290"/>
    <x v="14"/>
  </r>
  <r>
    <n v="1310"/>
    <d v="2026-03-28T00:00:00"/>
    <d v="1899-12-30T13:22:00"/>
    <s v="Person/Merchant Payment"/>
    <x v="0"/>
    <n v="30"/>
    <s v="Person_291"/>
    <x v="14"/>
  </r>
  <r>
    <n v="1311"/>
    <d v="2026-03-28T00:00:00"/>
    <d v="1899-12-30T17:37:00"/>
    <s v="Person/Merchant Payment"/>
    <x v="0"/>
    <n v="26"/>
    <s v="Person_138"/>
    <x v="14"/>
  </r>
  <r>
    <n v="1312"/>
    <d v="2026-03-28T00:00:00"/>
    <d v="1899-12-30T20:57:00"/>
    <s v="Person/Merchant Payment"/>
    <x v="0"/>
    <n v="30"/>
    <s v="Person_50"/>
    <x v="14"/>
  </r>
  <r>
    <n v="1313"/>
    <d v="2026-03-29T00:00:00"/>
    <d v="1899-12-30T17:13:00"/>
    <s v="Person/Merchant Payment"/>
    <x v="0"/>
    <n v="75"/>
    <s v="Person_292"/>
    <x v="14"/>
  </r>
  <r>
    <n v="1314"/>
    <d v="2026-03-29T00:00:00"/>
    <d v="1899-12-30T18:29:00"/>
    <s v="Money Received"/>
    <x v="1"/>
    <n v="1000"/>
    <s v="Person_17"/>
    <x v="14"/>
  </r>
  <r>
    <n v="1315"/>
    <d v="2026-03-29T00:00:00"/>
    <d v="1899-12-30T19:27:00"/>
    <s v="Person/Merchant Payment"/>
    <x v="0"/>
    <n v="1000"/>
    <s v="Person_50"/>
    <x v="14"/>
  </r>
  <r>
    <n v="1316"/>
    <d v="2026-03-30T00:00:00"/>
    <d v="1899-12-30T12:10:00"/>
    <s v="Person/Merchant Payment"/>
    <x v="0"/>
    <n v="10"/>
    <s v="Person_147"/>
    <x v="14"/>
  </r>
  <r>
    <n v="1317"/>
    <d v="2026-03-30T00:00:00"/>
    <d v="1899-12-30T16:24:00"/>
    <s v="Person/Merchant Payment"/>
    <x v="0"/>
    <n v="20"/>
    <s v="Person_138"/>
    <x v="14"/>
  </r>
  <r>
    <n v="1318"/>
    <d v="2026-03-30T00:00:00"/>
    <d v="1899-12-30T17:05:00"/>
    <s v="Person/Merchant Payment"/>
    <x v="0"/>
    <n v="2000"/>
    <s v="Person_156"/>
    <x v="14"/>
  </r>
  <r>
    <n v="1319"/>
    <d v="2026-03-30T00:00:00"/>
    <d v="1899-12-30T17:11:00"/>
    <s v="Person/Merchant Payment"/>
    <x v="0"/>
    <n v="3000"/>
    <s v="Person_156"/>
    <x v="14"/>
  </r>
  <r>
    <n v="1320"/>
    <d v="2026-03-31T00:00:00"/>
    <d v="1899-12-30T08:24:00"/>
    <s v="Person/Merchant Payment"/>
    <x v="0"/>
    <n v="10"/>
    <s v="Person_138"/>
    <x v="14"/>
  </r>
  <r>
    <n v="1321"/>
    <d v="2026-03-31T00:00:00"/>
    <d v="1899-12-30T11:30:00"/>
    <s v="Money Received"/>
    <x v="1"/>
    <n v="1000"/>
    <s v="Person_37"/>
    <x v="14"/>
  </r>
  <r>
    <n v="1322"/>
    <d v="2026-03-31T00:00:00"/>
    <d v="1899-12-30T15:28:00"/>
    <s v="Person/Merchant Payment"/>
    <x v="0"/>
    <n v="300"/>
    <s v="Person_293"/>
    <x v="14"/>
  </r>
  <r>
    <n v="1323"/>
    <d v="2026-03-31T00:00:00"/>
    <d v="1899-12-30T18:36:00"/>
    <s v="Person/Merchant Payment"/>
    <x v="0"/>
    <n v="100"/>
    <s v="Person_45"/>
    <x v="14"/>
  </r>
  <r>
    <n v="1324"/>
    <d v="2026-04-01T00:00:00"/>
    <d v="1899-12-30T16:00:00"/>
    <s v="Money Received"/>
    <x v="1"/>
    <n v="1000"/>
    <s v="Person_31"/>
    <x v="15"/>
  </r>
  <r>
    <n v="1325"/>
    <d v="2026-04-01T00:00:00"/>
    <d v="1899-12-30T16:00:00"/>
    <s v="Money Received"/>
    <x v="1"/>
    <n v="1000"/>
    <s v="Person_31"/>
    <x v="15"/>
  </r>
  <r>
    <n v="1326"/>
    <d v="2026-04-01T00:00:00"/>
    <d v="1899-12-30T18:38:00"/>
    <s v="Person/Merchant Payment"/>
    <x v="0"/>
    <n v="2000"/>
    <s v="Person_128"/>
    <x v="15"/>
  </r>
  <r>
    <n v="1327"/>
    <d v="2026-04-01T00:00:00"/>
    <d v="1899-12-30T20:32:00"/>
    <s v="Person/Merchant Payment"/>
    <x v="0"/>
    <n v="595"/>
    <s v="Person_294"/>
    <x v="15"/>
  </r>
  <r>
    <n v="1328"/>
    <d v="2026-04-01T00:00:00"/>
    <d v="1899-12-30T20:52:00"/>
    <s v="Person/Merchant Payment"/>
    <x v="0"/>
    <n v="29"/>
    <s v="Person_226"/>
    <x v="15"/>
  </r>
  <r>
    <n v="1329"/>
    <d v="2026-04-02T00:00:00"/>
    <d v="1899-12-30T09:33:00"/>
    <s v="Money Received"/>
    <x v="1"/>
    <n v="10000"/>
    <s v="Person_37"/>
    <x v="15"/>
  </r>
  <r>
    <n v="1330"/>
    <d v="2026-04-02T00:00:00"/>
    <d v="1899-12-30T09:34:00"/>
    <s v="Person/Merchant Payment"/>
    <x v="0"/>
    <n v="10000"/>
    <s v="Person_128"/>
    <x v="15"/>
  </r>
  <r>
    <n v="1331"/>
    <d v="2026-04-02T00:00:00"/>
    <d v="1899-12-30T21:33:00"/>
    <s v="Person/Merchant Payment"/>
    <x v="0"/>
    <n v="135"/>
    <s v="Person_50"/>
    <x v="15"/>
  </r>
  <r>
    <n v="1332"/>
    <d v="2026-04-03T00:00:00"/>
    <d v="1899-12-30T15:35:00"/>
    <s v="Person/Merchant Payment"/>
    <x v="0"/>
    <n v="20"/>
    <s v="Person_288"/>
    <x v="15"/>
  </r>
  <r>
    <n v="1333"/>
    <d v="2026-04-03T00:00:00"/>
    <d v="1899-12-30T18:20:00"/>
    <s v="Person/Merchant Payment"/>
    <x v="0"/>
    <n v="25"/>
    <s v="Person_257"/>
    <x v="15"/>
  </r>
  <r>
    <n v="1334"/>
    <d v="2026-04-03T00:00:00"/>
    <d v="1899-12-30T20:54:00"/>
    <s v="Money Received"/>
    <x v="1"/>
    <n v="3000"/>
    <s v="Person_37"/>
    <x v="15"/>
  </r>
  <r>
    <n v="1335"/>
    <d v="2026-04-03T00:00:00"/>
    <d v="1899-12-30T20:56:00"/>
    <s v="Person/Merchant Payment"/>
    <x v="0"/>
    <n v="3000"/>
    <s v="Person_295"/>
    <x v="15"/>
  </r>
  <r>
    <n v="1336"/>
    <d v="2026-04-03T00:00:00"/>
    <d v="1899-12-30T21:48:00"/>
    <s v="Money Received"/>
    <x v="1"/>
    <n v="6000"/>
    <s v="Person_296"/>
    <x v="15"/>
  </r>
  <r>
    <n v="1337"/>
    <d v="2026-04-04T00:00:00"/>
    <d v="1899-12-30T10:27:00"/>
    <s v="Person/Merchant Payment"/>
    <x v="0"/>
    <n v="101"/>
    <s v="ZEPTO MARKETPLACE PRIVATE LIMITED"/>
    <x v="15"/>
  </r>
  <r>
    <n v="1338"/>
    <d v="2026-04-04T00:00:00"/>
    <d v="1899-12-30T10:28:00"/>
    <s v="Person/Merchant Payment"/>
    <x v="0"/>
    <n v="6000"/>
    <s v="Person_172"/>
    <x v="15"/>
  </r>
  <r>
    <n v="1339"/>
    <d v="2026-04-04T00:00:00"/>
    <d v="1899-12-30T10:29:00"/>
    <s v="Person/Merchant Payment"/>
    <x v="0"/>
    <n v="500"/>
    <s v="Person_297"/>
    <x v="15"/>
  </r>
  <r>
    <n v="1340"/>
    <d v="2026-04-04T00:00:00"/>
    <d v="1899-12-30T12:27:00"/>
    <s v="Money Received"/>
    <x v="1"/>
    <n v="160"/>
    <s v="Person_37"/>
    <x v="15"/>
  </r>
  <r>
    <n v="1341"/>
    <d v="2026-04-04T00:00:00"/>
    <d v="1899-12-30T12:28:00"/>
    <s v="Person/Merchant Payment"/>
    <x v="0"/>
    <n v="153"/>
    <s v="ZEPTO"/>
    <x v="15"/>
  </r>
  <r>
    <n v="1342"/>
    <d v="2026-04-04T00:00:00"/>
    <d v="1899-12-30T12:58:00"/>
    <s v="Person/Merchant Payment"/>
    <x v="0"/>
    <n v="5160"/>
    <s v="Person_45"/>
    <x v="15"/>
  </r>
  <r>
    <n v="1343"/>
    <d v="2026-04-04T00:00:00"/>
    <d v="1899-12-30T13:26:00"/>
    <s v="Money Received"/>
    <x v="1"/>
    <n v="1000"/>
    <s v="Person_206"/>
    <x v="15"/>
  </r>
  <r>
    <n v="1344"/>
    <d v="2026-04-04T00:00:00"/>
    <d v="1899-12-30T13:28:00"/>
    <s v="Person/Merchant Payment"/>
    <x v="0"/>
    <n v="1000"/>
    <s v="Person_2"/>
    <x v="15"/>
  </r>
  <r>
    <n v="1345"/>
    <d v="2026-04-04T00:00:00"/>
    <d v="1899-12-30T18:28:00"/>
    <s v="Person/Merchant Payment"/>
    <x v="0"/>
    <n v="31"/>
    <s v="Person_248"/>
    <x v="15"/>
  </r>
  <r>
    <n v="1346"/>
    <d v="2026-04-04T00:00:00"/>
    <d v="1899-12-30T19:38:00"/>
    <s v="Money Received"/>
    <x v="1"/>
    <n v="5000"/>
    <s v="Person_37"/>
    <x v="15"/>
  </r>
  <r>
    <n v="1347"/>
    <d v="2026-04-04T00:00:00"/>
    <d v="1899-12-30T19:40:00"/>
    <s v="Person/Merchant Payment"/>
    <x v="0"/>
    <n v="5000"/>
    <s v="Person_298"/>
    <x v="15"/>
  </r>
  <r>
    <n v="1348"/>
    <d v="2026-04-05T00:00:00"/>
    <d v="1899-12-30T01:29:00"/>
    <s v="Money Received"/>
    <x v="1"/>
    <n v="500"/>
    <s v="Person_299"/>
    <x v="15"/>
  </r>
  <r>
    <n v="1349"/>
    <d v="2026-04-05T00:00:00"/>
    <d v="1899-12-30T09:53:00"/>
    <s v="Person/Merchant Payment"/>
    <x v="0"/>
    <n v="5000"/>
    <s v="Person_45"/>
    <x v="15"/>
  </r>
  <r>
    <n v="1350"/>
    <d v="2026-04-05T00:00:00"/>
    <d v="1899-12-30T12:03:00"/>
    <s v="Money Received"/>
    <x v="1"/>
    <n v="2000"/>
    <s v="Person_17"/>
    <x v="15"/>
  </r>
  <r>
    <n v="1351"/>
    <d v="2026-04-05T00:00:00"/>
    <d v="1899-12-30T18:19:00"/>
    <s v="Person/Merchant Payment"/>
    <x v="0"/>
    <n v="31"/>
    <s v="Person_248"/>
    <x v="15"/>
  </r>
  <r>
    <n v="1352"/>
    <d v="2026-04-06T00:00:00"/>
    <d v="1899-12-30T07:35:00"/>
    <s v="Money Received"/>
    <x v="1"/>
    <n v="300"/>
    <s v="Person_155"/>
    <x v="15"/>
  </r>
  <r>
    <n v="1353"/>
    <d v="2026-04-06T00:00:00"/>
    <d v="1899-12-30T08:45:00"/>
    <s v="Person/Merchant Payment"/>
    <x v="0"/>
    <n v="3000"/>
    <s v="Person_45"/>
    <x v="15"/>
  </r>
  <r>
    <n v="1354"/>
    <d v="2026-04-06T00:00:00"/>
    <d v="1899-12-30T10:36:00"/>
    <s v="Person/Merchant Payment"/>
    <x v="0"/>
    <n v="6000"/>
    <s v="Person_227"/>
    <x v="15"/>
  </r>
  <r>
    <n v="1355"/>
    <d v="2026-04-06T00:00:00"/>
    <d v="1899-12-30T14:19:00"/>
    <s v="Person/Merchant Payment"/>
    <x v="0"/>
    <n v="20"/>
    <s v="Person_138"/>
    <x v="15"/>
  </r>
  <r>
    <n v="1356"/>
    <d v="2026-04-06T00:00:00"/>
    <d v="1899-12-30T21:28:00"/>
    <s v="Money Received"/>
    <x v="1"/>
    <n v="168"/>
    <s v="Person_37"/>
    <x v="15"/>
  </r>
  <r>
    <n v="1357"/>
    <d v="2026-04-06T00:00:00"/>
    <d v="1899-12-30T21:29:00"/>
    <s v="Person/Merchant Payment"/>
    <x v="0"/>
    <n v="168"/>
    <s v="ZEPTONOW"/>
    <x v="15"/>
  </r>
  <r>
    <n v="1358"/>
    <d v="2026-04-06T00:00:00"/>
    <d v="1899-12-30T21:30:00"/>
    <s v="UPI Lite Top-up"/>
    <x v="0"/>
    <n v="300"/>
    <s v="Person_4"/>
    <x v="15"/>
  </r>
  <r>
    <n v="1359"/>
    <d v="2026-04-07T00:00:00"/>
    <d v="1899-12-30T09:24:00"/>
    <s v="Person/Merchant Payment"/>
    <x v="0"/>
    <n v="12000"/>
    <s v="Person_213"/>
    <x v="15"/>
  </r>
  <r>
    <n v="1360"/>
    <d v="2026-04-07T00:00:00"/>
    <d v="1899-12-30T17:20:00"/>
    <s v="Money Received"/>
    <x v="1"/>
    <n v="40"/>
    <s v="Person_2"/>
    <x v="15"/>
  </r>
  <r>
    <n v="1361"/>
    <d v="2026-04-07T00:00:00"/>
    <d v="1899-12-30T17:30:00"/>
    <s v="Person/Merchant Payment"/>
    <x v="0"/>
    <n v="40"/>
    <s v="Person_17"/>
    <x v="15"/>
  </r>
  <r>
    <n v="1362"/>
    <d v="2026-04-08T00:00:00"/>
    <d v="1899-12-30T17:42:00"/>
    <s v="Person/Merchant Payment"/>
    <x v="0"/>
    <n v="300"/>
    <s v="Person_282"/>
    <x v="15"/>
  </r>
  <r>
    <n v="1363"/>
    <d v="2026-04-08T00:00:00"/>
    <d v="1899-12-30T17:45:00"/>
    <s v="Person/Merchant Payment"/>
    <x v="0"/>
    <n v="200"/>
    <s v="Person_283"/>
    <x v="15"/>
  </r>
  <r>
    <n v="1364"/>
    <d v="2026-04-08T00:00:00"/>
    <d v="1899-12-30T17:47:00"/>
    <s v="Person/Merchant Payment"/>
    <x v="0"/>
    <n v="50"/>
    <s v="Person_300"/>
    <x v="15"/>
  </r>
  <r>
    <n v="1365"/>
    <d v="2026-04-08T00:00:00"/>
    <d v="1899-12-30T21:12:00"/>
    <s v="Money Received"/>
    <x v="1"/>
    <n v="2000"/>
    <s v="Person_17"/>
    <x v="15"/>
  </r>
  <r>
    <n v="1366"/>
    <d v="2026-04-08T00:00:00"/>
    <d v="1899-12-30T23:42:00"/>
    <s v="Money Received"/>
    <x v="1"/>
    <n v="1000"/>
    <s v="Person_50"/>
    <x v="15"/>
  </r>
  <r>
    <n v="1367"/>
    <d v="2026-04-09T00:00:00"/>
    <d v="1899-12-30T13:22:00"/>
    <s v="Person/Merchant Payment"/>
    <x v="0"/>
    <n v="1000"/>
    <s v="Person_301"/>
    <x v="15"/>
  </r>
  <r>
    <n v="1368"/>
    <d v="2026-04-09T00:00:00"/>
    <d v="1899-12-30T16:53:00"/>
    <s v="Person/Merchant Payment"/>
    <x v="0"/>
    <n v="60"/>
    <s v="Person_220"/>
    <x v="15"/>
  </r>
  <r>
    <n v="1369"/>
    <d v="2026-04-09T00:00:00"/>
    <d v="1899-12-30T18:13:00"/>
    <s v="Person/Merchant Payment"/>
    <x v="0"/>
    <n v="60"/>
    <s v="Person_220"/>
    <x v="15"/>
  </r>
  <r>
    <n v="1370"/>
    <d v="2026-04-09T00:00:00"/>
    <d v="1899-12-30T19:09:00"/>
    <s v="Person/Merchant Payment"/>
    <x v="0"/>
    <n v="60"/>
    <s v="Person_302"/>
    <x v="15"/>
  </r>
  <r>
    <n v="1371"/>
    <d v="2026-04-09T00:00:00"/>
    <d v="1899-12-30T19:49:00"/>
    <s v="Money Received"/>
    <x v="1"/>
    <n v="1500"/>
    <s v="Person_17"/>
    <x v="15"/>
  </r>
  <r>
    <n v="1372"/>
    <d v="2026-04-09T00:00:00"/>
    <d v="1899-12-30T19:51:00"/>
    <s v="Money Received"/>
    <x v="1"/>
    <n v="6000"/>
    <s v="Person_11"/>
    <x v="15"/>
  </r>
  <r>
    <n v="1373"/>
    <d v="2026-04-09T00:00:00"/>
    <d v="1899-12-30T19:51:00"/>
    <s v="Money Received"/>
    <x v="1"/>
    <n v="300"/>
    <s v="Person_37"/>
    <x v="15"/>
  </r>
  <r>
    <n v="1374"/>
    <d v="2026-04-09T00:00:00"/>
    <d v="1899-12-30T19:57:00"/>
    <s v="Person/Merchant Payment"/>
    <x v="0"/>
    <n v="2000"/>
    <s v="Person_172"/>
    <x v="15"/>
  </r>
  <r>
    <n v="1375"/>
    <d v="2026-04-09T00:00:00"/>
    <d v="1899-12-30T20:39:00"/>
    <s v="Money Received"/>
    <x v="1"/>
    <n v="2000"/>
    <s v="Person_2"/>
    <x v="15"/>
  </r>
  <r>
    <n v="1376"/>
    <d v="2026-04-09T00:00:00"/>
    <d v="1899-12-30T20:48:00"/>
    <s v="Person/Merchant Payment"/>
    <x v="0"/>
    <n v="2000"/>
    <s v="Person_172"/>
    <x v="15"/>
  </r>
  <r>
    <n v="1377"/>
    <d v="2026-04-10T00:00:00"/>
    <d v="1899-12-30T16:07:00"/>
    <s v="Person/Merchant Payment"/>
    <x v="0"/>
    <n v="50"/>
    <s v="Person_303"/>
    <x v="15"/>
  </r>
  <r>
    <n v="1378"/>
    <d v="2026-04-10T00:00:00"/>
    <d v="1899-12-30T22:43:00"/>
    <s v="Money Received"/>
    <x v="1"/>
    <n v="2000"/>
    <s v="Person_37"/>
    <x v="15"/>
  </r>
  <r>
    <n v="1379"/>
    <d v="2026-04-10T00:00:00"/>
    <d v="1899-12-30T22:45:00"/>
    <s v="Person/Merchant Payment"/>
    <x v="0"/>
    <n v="2000"/>
    <s v="Person_304"/>
    <x v="15"/>
  </r>
  <r>
    <n v="1380"/>
    <d v="2026-04-11T00:00:00"/>
    <d v="1899-12-30T04:47:00"/>
    <s v="Person/Merchant Payment"/>
    <x v="0"/>
    <n v="400"/>
    <s v="Person_305"/>
    <x v="15"/>
  </r>
  <r>
    <n v="1381"/>
    <d v="2026-04-11T00:00:00"/>
    <d v="1899-12-30T12:09:00"/>
    <s v="Person/Merchant Payment"/>
    <x v="0"/>
    <n v="365"/>
    <s v="Person_306"/>
    <x v="15"/>
  </r>
  <r>
    <n v="1382"/>
    <d v="2026-04-11T00:00:00"/>
    <d v="1899-12-30T13:21:00"/>
    <s v="Person/Merchant Payment"/>
    <x v="0"/>
    <n v="4000"/>
    <s v="Person_45"/>
    <x v="15"/>
  </r>
  <r>
    <n v="1383"/>
    <d v="2026-04-11T00:00:00"/>
    <d v="1899-12-30T13:21:00"/>
    <s v="Person/Merchant Payment"/>
    <x v="0"/>
    <n v="2000"/>
    <s v="Person_45"/>
    <x v="15"/>
  </r>
  <r>
    <n v="1384"/>
    <d v="2026-04-11T00:00:00"/>
    <d v="1899-12-30T19:45:00"/>
    <s v="Person/Merchant Payment"/>
    <x v="0"/>
    <n v="120"/>
    <s v="Person_307"/>
    <x v="15"/>
  </r>
  <r>
    <n v="1385"/>
    <d v="2026-04-11T00:00:00"/>
    <d v="1899-12-30T20:04:00"/>
    <s v="Person/Merchant Payment"/>
    <x v="0"/>
    <n v="140"/>
    <s v="Person_308"/>
    <x v="15"/>
  </r>
  <r>
    <n v="1386"/>
    <d v="2026-04-11T00:00:00"/>
    <d v="1899-12-30T20:07:00"/>
    <s v="Person/Merchant Payment"/>
    <x v="0"/>
    <n v="20"/>
    <s v="Person_309"/>
    <x v="15"/>
  </r>
  <r>
    <n v="1387"/>
    <d v="2026-04-11T00:00:00"/>
    <d v="1899-12-30T23:32:00"/>
    <s v="Person/Merchant Payment"/>
    <x v="0"/>
    <n v="8500"/>
    <s v="Person_45"/>
    <x v="15"/>
  </r>
  <r>
    <n v="1388"/>
    <d v="2026-04-12T00:00:00"/>
    <d v="1899-12-30T04:04:00"/>
    <s v="Person/Merchant Payment"/>
    <x v="0"/>
    <n v="30"/>
    <s v="Person_310"/>
    <x v="15"/>
  </r>
  <r>
    <n v="1389"/>
    <d v="2026-04-12T00:00:00"/>
    <d v="1899-12-30T07:23:00"/>
    <s v="Person/Merchant Payment"/>
    <x v="0"/>
    <n v="800"/>
    <s v="Person_311"/>
    <x v="15"/>
  </r>
  <r>
    <n v="1390"/>
    <d v="2026-04-12T00:00:00"/>
    <d v="1899-12-30T10:11:00"/>
    <s v="Person/Merchant Payment"/>
    <x v="0"/>
    <n v="150"/>
    <s v="Person_312"/>
    <x v="15"/>
  </r>
  <r>
    <n v="1391"/>
    <d v="2026-04-12T00:00:00"/>
    <d v="1899-12-30T10:52:00"/>
    <s v="Person/Merchant Payment"/>
    <x v="0"/>
    <n v="600"/>
    <s v="Person_313"/>
    <x v="15"/>
  </r>
  <r>
    <n v="1392"/>
    <d v="2026-04-12T00:00:00"/>
    <d v="1899-12-30T11:55:00"/>
    <s v="Person/Merchant Payment"/>
    <x v="0"/>
    <n v="100"/>
    <s v="Person_314"/>
    <x v="15"/>
  </r>
  <r>
    <n v="1393"/>
    <d v="2026-04-12T00:00:00"/>
    <d v="1899-12-30T11:56:00"/>
    <s v="Person/Merchant Payment"/>
    <x v="0"/>
    <n v="50"/>
    <s v="Person_314"/>
    <x v="15"/>
  </r>
  <r>
    <n v="1394"/>
    <d v="2026-04-12T00:00:00"/>
    <d v="1899-12-30T11:59:00"/>
    <s v="Person/Merchant Payment"/>
    <x v="0"/>
    <n v="40"/>
    <s v="Person_315"/>
    <x v="15"/>
  </r>
  <r>
    <n v="1395"/>
    <d v="2026-04-12T00:00:00"/>
    <d v="1899-12-30T15:36:00"/>
    <s v="Person/Merchant Payment"/>
    <x v="0"/>
    <n v="6000"/>
    <s v="Person_45"/>
    <x v="15"/>
  </r>
  <r>
    <n v="1396"/>
    <d v="2026-04-12T00:00:00"/>
    <d v="1899-12-30T15:49:00"/>
    <s v="Person/Merchant Payment"/>
    <x v="0"/>
    <n v="70"/>
    <s v="Person_316"/>
    <x v="15"/>
  </r>
  <r>
    <n v="1397"/>
    <d v="2026-04-12T00:00:00"/>
    <d v="1899-12-30T15:50:00"/>
    <s v="Person/Merchant Payment"/>
    <x v="0"/>
    <n v="70"/>
    <s v="Person_316"/>
    <x v="15"/>
  </r>
  <r>
    <n v="1398"/>
    <d v="2026-04-12T00:00:00"/>
    <d v="1899-12-30T16:52:00"/>
    <s v="Person/Merchant Payment"/>
    <x v="0"/>
    <n v="10"/>
    <s v="Person_317"/>
    <x v="15"/>
  </r>
  <r>
    <n v="1399"/>
    <d v="2026-04-12T00:00:00"/>
    <d v="1899-12-30T19:01:00"/>
    <s v="Person/Merchant Payment"/>
    <x v="0"/>
    <n v="80"/>
    <s v="Person_318"/>
    <x v="15"/>
  </r>
  <r>
    <n v="1400"/>
    <d v="2026-04-12T00:00:00"/>
    <d v="1899-12-30T19:34:00"/>
    <s v="Money Received"/>
    <x v="1"/>
    <n v="6000"/>
    <s v="Person_37"/>
    <x v="15"/>
  </r>
  <r>
    <n v="1401"/>
    <d v="2026-04-12T00:00:00"/>
    <d v="1899-12-30T21:27:00"/>
    <s v="Person/Merchant Payment"/>
    <x v="0"/>
    <n v="290"/>
    <s v="Person_319"/>
    <x v="15"/>
  </r>
  <r>
    <n v="1402"/>
    <d v="2026-04-12T00:00:00"/>
    <d v="1899-12-30T21:41:00"/>
    <s v="Person/Merchant Payment"/>
    <x v="0"/>
    <n v="50"/>
    <s v="Person_320"/>
    <x v="15"/>
  </r>
  <r>
    <n v="1403"/>
    <d v="2026-04-13T00:00:00"/>
    <d v="1899-12-30T06:16:00"/>
    <s v="Person/Merchant Payment"/>
    <x v="0"/>
    <n v="180"/>
    <s v="Person_220"/>
    <x v="15"/>
  </r>
  <r>
    <n v="1404"/>
    <d v="2026-04-13T00:00:00"/>
    <d v="1899-12-30T11:03:00"/>
    <s v="Person/Merchant Payment"/>
    <x v="0"/>
    <n v="8000"/>
    <s v="Person_45"/>
    <x v="15"/>
  </r>
  <r>
    <n v="1405"/>
    <d v="2026-04-13T00:00:00"/>
    <d v="1899-12-30T11:04:00"/>
    <s v="Person/Merchant Payment"/>
    <x v="0"/>
    <n v="290"/>
    <s v="Person_6"/>
    <x v="15"/>
  </r>
  <r>
    <n v="1406"/>
    <d v="2026-04-13T00:00:00"/>
    <d v="1899-12-30T15:48:00"/>
    <s v="Person/Merchant Payment"/>
    <x v="0"/>
    <n v="350"/>
    <s v="Person_294"/>
    <x v="15"/>
  </r>
  <r>
    <n v="1407"/>
    <d v="2026-04-13T00:00:00"/>
    <d v="1899-12-30T16:17:00"/>
    <s v="Person/Merchant Payment"/>
    <x v="0"/>
    <n v="100"/>
    <s v="Person_225"/>
    <x v="15"/>
  </r>
  <r>
    <n v="1408"/>
    <d v="2026-04-14T00:00:00"/>
    <d v="1899-12-30T17:15:00"/>
    <s v="Person/Merchant Payment"/>
    <x v="0"/>
    <n v="5000"/>
    <s v="Person_45"/>
    <x v="15"/>
  </r>
  <r>
    <n v="1409"/>
    <d v="2026-04-14T00:00:00"/>
    <d v="1899-12-30T17:54:00"/>
    <s v="Person/Merchant Payment"/>
    <x v="0"/>
    <n v="1000"/>
    <s v="Person_156"/>
    <x v="15"/>
  </r>
  <r>
    <n v="1410"/>
    <d v="2026-04-15T00:00:00"/>
    <d v="1899-12-30T08:21:00"/>
    <s v="Person/Merchant Payment"/>
    <x v="0"/>
    <n v="10"/>
    <s v="Person_138"/>
    <x v="15"/>
  </r>
  <r>
    <n v="1411"/>
    <d v="2026-04-15T00:00:00"/>
    <d v="1899-12-30T10:21:00"/>
    <s v="Person/Merchant Payment"/>
    <x v="0"/>
    <n v="54"/>
    <s v="Person_8"/>
    <x v="15"/>
  </r>
  <r>
    <n v="1412"/>
    <d v="2026-04-15T00:00:00"/>
    <d v="1899-12-30T13:13:00"/>
    <s v="Person/Merchant Payment"/>
    <x v="0"/>
    <n v="5"/>
    <s v="Person_225"/>
    <x v="15"/>
  </r>
  <r>
    <n v="1413"/>
    <d v="2026-04-15T00:00:00"/>
    <d v="1899-12-30T13:15:00"/>
    <s v="Person/Merchant Payment"/>
    <x v="0"/>
    <n v="40"/>
    <s v="Person_321"/>
    <x v="15"/>
  </r>
  <r>
    <n v="1414"/>
    <d v="2026-04-15T00:00:00"/>
    <d v="1899-12-30T13:46:00"/>
    <s v="Person/Merchant Payment"/>
    <x v="0"/>
    <n v="30"/>
    <s v="Person_322"/>
    <x v="15"/>
  </r>
  <r>
    <n v="1415"/>
    <d v="2026-04-15T00:00:00"/>
    <d v="1899-12-30T18:27:00"/>
    <s v="Money Received"/>
    <x v="1"/>
    <n v="30"/>
    <s v="Person_50"/>
    <x v="15"/>
  </r>
  <r>
    <n v="1416"/>
    <d v="2026-04-15T00:00:00"/>
    <d v="1899-12-30T18:32:00"/>
    <s v="Person/Merchant Payment"/>
    <x v="0"/>
    <n v="31"/>
    <s v="Person_248"/>
    <x v="15"/>
  </r>
  <r>
    <n v="1417"/>
    <d v="2026-04-15T00:00:00"/>
    <d v="1899-12-30T22:03:00"/>
    <s v="Person/Merchant Payment"/>
    <x v="0"/>
    <n v="1000"/>
    <s v="Person_45"/>
    <x v="15"/>
  </r>
  <r>
    <n v="1418"/>
    <d v="2026-04-16T00:00:00"/>
    <d v="1899-12-30T10:17:00"/>
    <s v="Money Received"/>
    <x v="1"/>
    <n v="6000"/>
    <s v="Person_37"/>
    <x v="15"/>
  </r>
  <r>
    <n v="1419"/>
    <d v="2026-04-16T00:00:00"/>
    <d v="1899-12-30T17:36:00"/>
    <s v="Recharge"/>
    <x v="0"/>
    <n v="26"/>
    <s v="Person_18"/>
    <x v="15"/>
  </r>
  <r>
    <n v="1420"/>
    <d v="2026-04-16T00:00:00"/>
    <d v="1899-12-30T19:32:00"/>
    <s v="Person/Merchant Payment"/>
    <x v="0"/>
    <n v="6000"/>
    <s v="Person_45"/>
    <x v="15"/>
  </r>
  <r>
    <n v="1421"/>
    <d v="2026-04-17T00:00:00"/>
    <d v="1899-12-30T08:44:00"/>
    <s v="Person/Merchant Payment"/>
    <x v="0"/>
    <n v="8600"/>
    <s v="Person_45"/>
    <x v="15"/>
  </r>
  <r>
    <n v="1422"/>
    <d v="2026-04-17T00:00:00"/>
    <d v="1899-12-30T20:50:00"/>
    <s v="Person/Merchant Payment"/>
    <x v="0"/>
    <n v="1000"/>
    <s v="Person_50"/>
    <x v="15"/>
  </r>
  <r>
    <n v="1423"/>
    <d v="2026-04-17T00:00:00"/>
    <d v="1899-12-30T20:51:00"/>
    <s v="Person/Merchant Payment"/>
    <x v="0"/>
    <n v="55"/>
    <s v="Person_193"/>
    <x v="15"/>
  </r>
  <r>
    <n v="1424"/>
    <d v="2026-04-18T00:00:00"/>
    <d v="1899-12-30T18:53:00"/>
    <s v="Person/Merchant Payment"/>
    <x v="0"/>
    <n v="50"/>
    <s v="Person_323"/>
    <x v="15"/>
  </r>
  <r>
    <n v="1425"/>
    <d v="2026-04-18T00:00:00"/>
    <d v="1899-12-30T19:01:00"/>
    <s v="Money Received"/>
    <x v="1"/>
    <n v="120"/>
    <s v="Person_37"/>
    <x v="15"/>
  </r>
  <r>
    <n v="1426"/>
    <d v="2026-04-18T00:00:00"/>
    <d v="1899-12-30T22:59:00"/>
    <s v="Person/Merchant Payment"/>
    <x v="0"/>
    <n v="100"/>
    <s v="Person_324"/>
    <x v="15"/>
  </r>
  <r>
    <n v="1427"/>
    <d v="2026-04-19T00:00:00"/>
    <d v="1899-12-30T18:40:00"/>
    <s v="Person/Merchant Payment"/>
    <x v="0"/>
    <n v="1000"/>
    <s v="Person_6"/>
    <x v="15"/>
  </r>
  <r>
    <n v="1428"/>
    <d v="2026-04-19T00:00:00"/>
    <d v="1899-12-30T20:14:00"/>
    <s v="Money Received"/>
    <x v="1"/>
    <n v="6000"/>
    <s v="Person_37"/>
    <x v="15"/>
  </r>
  <r>
    <n v="1429"/>
    <d v="2026-04-20T00:00:00"/>
    <d v="1899-12-30T11:21:00"/>
    <s v="Person/Merchant Payment"/>
    <x v="0"/>
    <n v="100"/>
    <s v="Person_193"/>
    <x v="15"/>
  </r>
  <r>
    <n v="1430"/>
    <d v="2026-04-20T00:00:00"/>
    <d v="1899-12-30T14:16:00"/>
    <s v="Money Received"/>
    <x v="1"/>
    <n v="5000"/>
    <s v="Person_325"/>
    <x v="15"/>
  </r>
  <r>
    <n v="1431"/>
    <d v="2026-04-20T00:00:00"/>
    <d v="1899-12-30T15:13:00"/>
    <s v="Person/Merchant Payment"/>
    <x v="0"/>
    <n v="2640"/>
    <s v="Person_326"/>
    <x v="15"/>
  </r>
  <r>
    <n v="1432"/>
    <d v="2026-04-21T00:00:00"/>
    <d v="1899-12-30T09:34:00"/>
    <s v="Person/Merchant Payment"/>
    <x v="0"/>
    <n v="2000"/>
    <s v="Person_163"/>
    <x v="15"/>
  </r>
  <r>
    <n v="1433"/>
    <d v="2026-04-22T00:00:00"/>
    <d v="1899-12-30T09:35:00"/>
    <s v="Person/Merchant Payment"/>
    <x v="0"/>
    <n v="5000"/>
    <s v="Person_45"/>
    <x v="15"/>
  </r>
  <r>
    <n v="1434"/>
    <d v="2026-04-22T00:00:00"/>
    <d v="1899-12-30T11:01:00"/>
    <s v="Person/Merchant Payment"/>
    <x v="0"/>
    <n v="1000"/>
    <s v="Person_327"/>
    <x v="15"/>
  </r>
  <r>
    <n v="1435"/>
    <d v="2026-04-22T00:00:00"/>
    <d v="1899-12-30T11:04:00"/>
    <s v="Money Received"/>
    <x v="1"/>
    <n v="5000"/>
    <s v="Person_37"/>
    <x v="15"/>
  </r>
  <r>
    <n v="1436"/>
    <d v="2026-04-22T00:00:00"/>
    <d v="1899-12-30T11:06:00"/>
    <s v="Money Received"/>
    <x v="1"/>
    <n v="1000"/>
    <s v="Person_327"/>
    <x v="15"/>
  </r>
  <r>
    <n v="1437"/>
    <d v="2026-04-22T00:00:00"/>
    <d v="1899-12-30T11:08:00"/>
    <s v="Person/Merchant Payment"/>
    <x v="0"/>
    <n v="6370"/>
    <s v="Person_172"/>
    <x v="15"/>
  </r>
  <r>
    <n v="1438"/>
    <d v="2026-04-23T00:00:00"/>
    <d v="1899-12-30T11:40:00"/>
    <s v="Education/Fees"/>
    <x v="0"/>
    <n v="6284"/>
    <s v="Person_5"/>
    <x v="15"/>
  </r>
  <r>
    <n v="1439"/>
    <d v="2026-04-23T00:00:00"/>
    <d v="1899-12-30T13:04:00"/>
    <s v="Person/Merchant Payment"/>
    <x v="0"/>
    <n v="100"/>
    <s v="Person_6"/>
    <x v="15"/>
  </r>
  <r>
    <n v="1440"/>
    <d v="2026-04-23T00:00:00"/>
    <d v="1899-12-30T13:05:00"/>
    <s v="Person/Merchant Payment"/>
    <x v="0"/>
    <n v="300"/>
    <s v="Person_328"/>
    <x v="15"/>
  </r>
  <r>
    <n v="1441"/>
    <d v="2026-04-23T00:00:00"/>
    <d v="1899-12-30T15:23:00"/>
    <s v="Money Received"/>
    <x v="1"/>
    <n v="500"/>
    <s v="Person_37"/>
    <x v="15"/>
  </r>
  <r>
    <n v="1442"/>
    <d v="2026-04-23T00:00:00"/>
    <d v="1899-12-30T22:12:00"/>
    <s v="Person/Merchant Payment"/>
    <x v="0"/>
    <n v="500"/>
    <s v="Person_17"/>
    <x v="15"/>
  </r>
  <r>
    <n v="1443"/>
    <d v="2026-04-25T00:00:00"/>
    <d v="1899-12-30T16:52:00"/>
    <s v="Money Received"/>
    <x v="1"/>
    <n v="7500"/>
    <s v="Person_17"/>
    <x v="15"/>
  </r>
  <r>
    <n v="1444"/>
    <d v="2026-04-25T00:00:00"/>
    <d v="1899-12-30T18:03:00"/>
    <s v="Person/Merchant Payment"/>
    <x v="0"/>
    <n v="2000"/>
    <s v="Person_17"/>
    <x v="15"/>
  </r>
  <r>
    <n v="1445"/>
    <d v="2026-04-25T00:00:00"/>
    <d v="1899-12-30T21:07:00"/>
    <s v="Person/Merchant Payment"/>
    <x v="0"/>
    <n v="500"/>
    <s v="Person_45"/>
    <x v="15"/>
  </r>
  <r>
    <n v="1446"/>
    <d v="2026-04-26T00:00:00"/>
    <d v="1899-12-30T07:22:00"/>
    <s v="Person/Merchant Payment"/>
    <x v="0"/>
    <n v="283"/>
    <s v="Person_45"/>
    <x v="15"/>
  </r>
  <r>
    <n v="1447"/>
    <d v="2026-04-26T00:00:00"/>
    <d v="1899-12-30T18:09:00"/>
    <s v="Money Received"/>
    <x v="1"/>
    <n v="4000"/>
    <s v="Person_37"/>
    <x v="15"/>
  </r>
  <r>
    <n v="1448"/>
    <d v="2026-04-26T00:00:00"/>
    <d v="1899-12-30T18:12:00"/>
    <s v="Person/Merchant Payment"/>
    <x v="0"/>
    <n v="4000"/>
    <s v="Person_156"/>
    <x v="15"/>
  </r>
  <r>
    <n v="1449"/>
    <d v="2026-04-26T00:00:00"/>
    <d v="1899-12-30T18:22:00"/>
    <s v="Money Received"/>
    <x v="1"/>
    <n v="199"/>
    <s v="Person_2"/>
    <x v="15"/>
  </r>
  <r>
    <n v="1450"/>
    <d v="2026-04-26T00:00:00"/>
    <d v="1899-12-30T18:23:00"/>
    <s v="Person/Merchant Payment"/>
    <x v="0"/>
    <n v="199"/>
    <s v="ZEPTO MARKETPLACE PRIVATE LIMITED"/>
    <x v="15"/>
  </r>
  <r>
    <n v="1451"/>
    <d v="2026-04-27T00:00:00"/>
    <d v="1899-12-30T10:12:00"/>
    <s v="Person/Merchant Payment"/>
    <x v="0"/>
    <n v="9000"/>
    <s v="Person_45"/>
    <x v="15"/>
  </r>
  <r>
    <n v="1452"/>
    <d v="2026-04-27T00:00:00"/>
    <d v="1899-12-30T18:37:00"/>
    <s v="Person/Merchant Payment"/>
    <x v="0"/>
    <n v="15"/>
    <s v="Person_158"/>
    <x v="15"/>
  </r>
  <r>
    <n v="1453"/>
    <d v="2026-04-27T00:00:00"/>
    <d v="1899-12-30T19:00:00"/>
    <s v="Person/Merchant Payment"/>
    <x v="0"/>
    <n v="1500"/>
    <s v="Person_172"/>
    <x v="15"/>
  </r>
  <r>
    <n v="1454"/>
    <d v="2026-04-27T00:00:00"/>
    <d v="1899-12-30T20:17:00"/>
    <s v="Money Received"/>
    <x v="1"/>
    <n v="500"/>
    <s v="Person_37"/>
    <x v="15"/>
  </r>
  <r>
    <n v="1455"/>
    <d v="2026-04-28T00:00:00"/>
    <d v="1899-12-30T12:05:00"/>
    <s v="Money Received"/>
    <x v="1"/>
    <n v="1200"/>
    <s v="Person_37"/>
    <x v="15"/>
  </r>
  <r>
    <n v="1456"/>
    <d v="2026-04-28T00:00:00"/>
    <d v="1899-12-30T13:26:00"/>
    <s v="Education/Fees"/>
    <x v="0"/>
    <n v="1680"/>
    <s v="Person_5"/>
    <x v="15"/>
  </r>
  <r>
    <n v="1457"/>
    <d v="2026-04-28T00:00:00"/>
    <d v="1899-12-30T13:30:00"/>
    <s v="Money Received"/>
    <x v="1"/>
    <n v="1680"/>
    <s v="Person_3"/>
    <x v="15"/>
  </r>
  <r>
    <n v="1458"/>
    <d v="2026-04-28T00:00:00"/>
    <d v="1899-12-30T13:30:00"/>
    <s v="Education/Fees"/>
    <x v="0"/>
    <n v="1680"/>
    <s v="Person_5"/>
    <x v="15"/>
  </r>
  <r>
    <n v="1459"/>
    <d v="2026-04-28T00:00:00"/>
    <d v="1899-12-30T13:36:00"/>
    <s v="Person/Merchant Payment"/>
    <x v="0"/>
    <n v="8"/>
    <s v="Person_329"/>
    <x v="15"/>
  </r>
  <r>
    <n v="1460"/>
    <d v="2026-04-29T00:00:00"/>
    <d v="1899-12-30T11:18:00"/>
    <s v="Person/Merchant Payment"/>
    <x v="0"/>
    <n v="100"/>
    <s v="Person_259"/>
    <x v="15"/>
  </r>
  <r>
    <n v="1461"/>
    <d v="2026-04-29T00:00:00"/>
    <d v="1899-12-30T12:37:00"/>
    <s v="Person/Merchant Payment"/>
    <x v="0"/>
    <n v="10"/>
    <s v="Person_147"/>
    <x v="15"/>
  </r>
  <r>
    <n v="1462"/>
    <d v="2026-04-30T00:00:00"/>
    <d v="1899-12-30T11:12:00"/>
    <s v="Person/Merchant Payment"/>
    <x v="0"/>
    <n v="4000"/>
    <s v="Person_50"/>
    <x v="15"/>
  </r>
  <r>
    <n v="1463"/>
    <d v="2026-04-30T00:00:00"/>
    <d v="1899-12-30T11:12:00"/>
    <s v="Person/Merchant Payment"/>
    <x v="0"/>
    <n v="1500"/>
    <s v="Person_50"/>
    <x v="15"/>
  </r>
  <r>
    <n v="1464"/>
    <d v="2026-04-30T00:00:00"/>
    <d v="1899-12-30T11:23:00"/>
    <s v="Money Received"/>
    <x v="1"/>
    <n v="500"/>
    <s v="Person_37"/>
    <x v="15"/>
  </r>
  <r>
    <n v="1465"/>
    <d v="2026-04-30T00:00:00"/>
    <d v="1899-12-30T11:24:00"/>
    <s v="Person/Merchant Payment"/>
    <x v="0"/>
    <n v="500"/>
    <s v="Person_50"/>
    <x v="15"/>
  </r>
  <r>
    <n v="1466"/>
    <d v="2026-04-30T00:00:00"/>
    <d v="1899-12-30T11:26:00"/>
    <s v="Money Received"/>
    <x v="1"/>
    <n v="500"/>
    <s v="Person_246"/>
    <x v="15"/>
  </r>
  <r>
    <n v="1467"/>
    <d v="2026-04-30T00:00:00"/>
    <d v="1899-12-30T12:49:00"/>
    <s v="Money Received"/>
    <x v="1"/>
    <n v="2000"/>
    <s v="Person_330"/>
    <x v="15"/>
  </r>
  <r>
    <n v="1468"/>
    <d v="2026-04-30T00:00:00"/>
    <d v="1899-12-30T12:52:00"/>
    <s v="Person/Merchant Payment"/>
    <x v="0"/>
    <n v="2000"/>
    <s v="Person_156"/>
    <x v="15"/>
  </r>
  <r>
    <n v="1469"/>
    <d v="2026-04-30T00:00:00"/>
    <d v="1899-12-30T19:05:00"/>
    <s v="Person/Merchant Payment"/>
    <x v="0"/>
    <n v="500"/>
    <s v="Person_246"/>
    <x v="15"/>
  </r>
  <r>
    <n v="1470"/>
    <d v="2026-04-30T00:00:00"/>
    <d v="1899-12-30T19:12:00"/>
    <s v="Money Received"/>
    <x v="1"/>
    <n v="2000"/>
    <s v="Person_37"/>
    <x v="15"/>
  </r>
  <r>
    <n v="1471"/>
    <d v="2026-04-30T00:00:00"/>
    <d v="1899-12-30T19:34:00"/>
    <s v="Money Received"/>
    <x v="1"/>
    <n v="100"/>
    <s v="Person_259"/>
    <x v="15"/>
  </r>
  <r>
    <n v="1472"/>
    <d v="2026-04-30T00:00:00"/>
    <d v="1899-12-30T20:21:00"/>
    <s v="Recharge"/>
    <x v="0"/>
    <n v="33"/>
    <s v="Person_18"/>
    <x v="15"/>
  </r>
  <r>
    <n v="1473"/>
    <d v="2026-05-01T00:00:00"/>
    <d v="1899-12-30T11:34:00"/>
    <s v="Person/Merchant Payment"/>
    <x v="0"/>
    <n v="300"/>
    <s v="Person_240"/>
    <x v="16"/>
  </r>
  <r>
    <n v="1474"/>
    <d v="2026-05-01T00:00:00"/>
    <d v="1899-12-30T11:38:00"/>
    <s v="Person/Merchant Payment"/>
    <x v="0"/>
    <n v="118"/>
    <s v="ZEPTO MARKETPLACE PRIVATE LIMITED"/>
    <x v="16"/>
  </r>
  <r>
    <n v="1475"/>
    <d v="2026-05-01T00:00:00"/>
    <d v="1899-12-30T13:21:00"/>
    <s v="Money Received"/>
    <x v="1"/>
    <n v="300"/>
    <s v="Person_331"/>
    <x v="16"/>
  </r>
  <r>
    <n v="1476"/>
    <d v="2026-05-01T00:00:00"/>
    <d v="1899-12-30T21:05:00"/>
    <s v="Money Received"/>
    <x v="1"/>
    <n v="150"/>
    <s v="Person_50"/>
    <x v="16"/>
  </r>
  <r>
    <n v="1477"/>
    <d v="2026-05-01T00:00:00"/>
    <d v="1899-12-30T22:39:00"/>
    <s v="Person/Merchant Payment"/>
    <x v="0"/>
    <n v="1600"/>
    <s v="Person_332"/>
    <x v="16"/>
  </r>
  <r>
    <n v="1478"/>
    <d v="2026-05-02T00:00:00"/>
    <d v="1899-12-30T09:30:00"/>
    <s v="Money Received"/>
    <x v="1"/>
    <n v="2000"/>
    <s v="Person_37"/>
    <x v="16"/>
  </r>
  <r>
    <n v="1479"/>
    <d v="2026-05-02T00:00:00"/>
    <d v="1899-12-30T12:41:00"/>
    <s v="Person/Merchant Payment"/>
    <x v="0"/>
    <n v="500"/>
    <s v="Person_333"/>
    <x v="16"/>
  </r>
  <r>
    <n v="1480"/>
    <d v="2026-05-02T00:00:00"/>
    <d v="1899-12-30T15:44:00"/>
    <s v="Person/Merchant Payment"/>
    <x v="0"/>
    <n v="106"/>
    <s v="ZEPTO MARKETPLACE PRIVATE LIMITED"/>
    <x v="16"/>
  </r>
  <r>
    <n v="1481"/>
    <d v="2026-05-03T00:00:00"/>
    <d v="1899-12-30T10:40:00"/>
    <s v="Money Received"/>
    <x v="1"/>
    <n v="34"/>
    <s v="Person_50"/>
    <x v="16"/>
  </r>
  <r>
    <n v="1482"/>
    <d v="2026-05-03T00:00:00"/>
    <d v="1899-12-30T10:41:00"/>
    <s v="Person/Merchant Payment"/>
    <x v="0"/>
    <n v="2000"/>
    <s v="Person_334"/>
    <x v="16"/>
  </r>
  <r>
    <n v="1483"/>
    <d v="2026-05-03T00:00:00"/>
    <d v="1899-12-30T12:33:00"/>
    <s v="Money Received"/>
    <x v="1"/>
    <n v="4500"/>
    <s v="Person_78"/>
    <x v="16"/>
  </r>
  <r>
    <n v="1484"/>
    <d v="2026-05-04T00:00:00"/>
    <d v="1899-12-30T09:14:00"/>
    <s v="Money Received"/>
    <x v="1"/>
    <n v="5100"/>
    <s v="Person_335"/>
    <x v="16"/>
  </r>
  <r>
    <n v="1485"/>
    <d v="2026-05-04T00:00:00"/>
    <d v="1899-12-30T11:39:00"/>
    <s v="Person/Merchant Payment"/>
    <x v="0"/>
    <n v="350"/>
    <s v="Person_156"/>
    <x v="16"/>
  </r>
  <r>
    <n v="1486"/>
    <d v="2026-05-04T00:00:00"/>
    <d v="1899-12-30T11:47:00"/>
    <s v="Person/Merchant Payment"/>
    <x v="0"/>
    <n v="30"/>
    <s v="Person_156"/>
    <x v="16"/>
  </r>
  <r>
    <n v="1487"/>
    <d v="2026-05-05T00:00:00"/>
    <d v="1899-12-30T08:33:00"/>
    <s v="Person/Merchant Payment"/>
    <x v="0"/>
    <n v="7"/>
    <s v="Person_329"/>
    <x v="16"/>
  </r>
  <r>
    <n v="1488"/>
    <d v="2026-05-05T00:00:00"/>
    <d v="1899-12-30T18:53:00"/>
    <s v="Person/Merchant Payment"/>
    <x v="0"/>
    <n v="200"/>
    <s v="Person_156"/>
    <x v="16"/>
  </r>
  <r>
    <n v="1489"/>
    <d v="2026-05-06T00:00:00"/>
    <d v="1899-12-30T07:59:00"/>
    <s v="Person/Merchant Payment"/>
    <x v="0"/>
    <n v="100"/>
    <s v="Person_336"/>
    <x v="16"/>
  </r>
  <r>
    <n v="1490"/>
    <d v="2026-05-06T00:00:00"/>
    <d v="1899-12-30T08:00:00"/>
    <s v="Person/Merchant Payment"/>
    <x v="0"/>
    <n v="4500"/>
    <s v="Person_172"/>
    <x v="16"/>
  </r>
  <r>
    <n v="1491"/>
    <d v="2026-05-06T00:00:00"/>
    <d v="1899-12-30T11:13:00"/>
    <s v="Person/Merchant Payment"/>
    <x v="0"/>
    <n v="4000"/>
    <s v="Person_45"/>
    <x v="16"/>
  </r>
  <r>
    <n v="1492"/>
    <d v="2026-05-06T00:00:00"/>
    <d v="1899-12-30T18:39:00"/>
    <s v="Person/Merchant Payment"/>
    <x v="0"/>
    <n v="10"/>
    <s v="Person_138"/>
    <x v="16"/>
  </r>
  <r>
    <n v="1493"/>
    <d v="2026-05-07T00:00:00"/>
    <d v="1899-12-30T03:18:00"/>
    <s v="Money Received"/>
    <x v="1"/>
    <n v="100"/>
    <s v="Person_2"/>
    <x v="16"/>
  </r>
  <r>
    <n v="1494"/>
    <d v="2026-05-07T00:00:00"/>
    <d v="1899-12-30T07:13:00"/>
    <s v="Money Received"/>
    <x v="1"/>
    <n v="17000"/>
    <s v="Person_246"/>
    <x v="16"/>
  </r>
  <r>
    <n v="1495"/>
    <d v="2026-05-07T00:00:00"/>
    <d v="1899-12-30T07:19:00"/>
    <s v="Person/Merchant Payment"/>
    <x v="0"/>
    <n v="17000"/>
    <s v="Person_246"/>
    <x v="16"/>
  </r>
  <r>
    <n v="1496"/>
    <d v="2026-05-07T00:00:00"/>
    <d v="1899-12-30T09:29:00"/>
    <s v="Person/Merchant Payment"/>
    <x v="0"/>
    <n v="1400"/>
    <s v="Person_156"/>
    <x v="16"/>
  </r>
  <r>
    <n v="1497"/>
    <d v="2026-05-07T00:00:00"/>
    <d v="1899-12-30T10:22:00"/>
    <s v="Person/Merchant Payment"/>
    <x v="0"/>
    <n v="139"/>
    <s v="Person_337"/>
    <x v="16"/>
  </r>
  <r>
    <n v="1498"/>
    <d v="2026-05-07T00:00:00"/>
    <d v="1899-12-30T14:15:00"/>
    <s v="Person/Merchant Payment"/>
    <x v="0"/>
    <n v="105"/>
    <s v="Person_338"/>
    <x v="16"/>
  </r>
  <r>
    <n v="1499"/>
    <d v="2026-05-07T00:00:00"/>
    <d v="1899-12-30T14:16:00"/>
    <s v="Person/Merchant Payment"/>
    <x v="0"/>
    <n v="200"/>
    <s v="Person_156"/>
    <x v="16"/>
  </r>
  <r>
    <n v="1500"/>
    <d v="2026-05-07T00:00:00"/>
    <d v="1899-12-30T21:42:00"/>
    <s v="Money Received"/>
    <x v="1"/>
    <n v="7000"/>
    <s v="Person_50"/>
    <x v="16"/>
  </r>
  <r>
    <n v="1501"/>
    <d v="2026-05-07T00:00:00"/>
    <d v="1899-12-30T21:42:00"/>
    <s v="Person/Merchant Payment"/>
    <x v="0"/>
    <n v="7000"/>
    <s v="Person_45"/>
    <x v="16"/>
  </r>
  <r>
    <n v="1502"/>
    <d v="2026-05-08T00:00:00"/>
    <d v="1899-12-30T14:37:00"/>
    <s v="Person/Merchant Payment"/>
    <x v="0"/>
    <n v="30"/>
    <s v="Person_339"/>
    <x v="16"/>
  </r>
  <r>
    <n v="1503"/>
    <d v="2026-05-08T00:00:00"/>
    <d v="1899-12-30T18:39:00"/>
    <s v="Money Received"/>
    <x v="1"/>
    <n v="6800"/>
    <s v="Person_17"/>
    <x v="16"/>
  </r>
  <r>
    <n v="1504"/>
    <d v="2026-05-09T00:00:00"/>
    <d v="1899-12-30T15:25:00"/>
    <s v="Money Received"/>
    <x v="1"/>
    <n v="100"/>
    <s v="Person_336"/>
    <x v="16"/>
  </r>
  <r>
    <n v="1505"/>
    <d v="2026-05-09T00:00:00"/>
    <d v="1899-12-30T18:41:00"/>
    <s v="Person/Merchant Payment"/>
    <x v="0"/>
    <n v="130"/>
    <s v="Person_340"/>
    <x v="16"/>
  </r>
  <r>
    <n v="1506"/>
    <d v="2026-05-09T00:00:00"/>
    <d v="1899-12-30T20:57:00"/>
    <s v="Money Received"/>
    <x v="1"/>
    <n v="130"/>
    <s v="Person_1"/>
    <x v="16"/>
  </r>
  <r>
    <n v="1507"/>
    <d v="2026-05-09T00:00:00"/>
    <d v="1899-12-30T21:29:00"/>
    <s v="Food &amp; Dining"/>
    <x v="0"/>
    <n v="1040"/>
    <s v="Person_341"/>
    <x v="16"/>
  </r>
  <r>
    <n v="1508"/>
    <d v="2026-05-10T00:00:00"/>
    <d v="1899-12-30T11:40:00"/>
    <s v="Money Received"/>
    <x v="1"/>
    <n v="200"/>
    <s v="Person_259"/>
    <x v="16"/>
  </r>
  <r>
    <n v="1509"/>
    <d v="2026-05-10T00:00:00"/>
    <d v="1899-12-30T11:44:00"/>
    <s v="Person/Merchant Payment"/>
    <x v="0"/>
    <n v="200"/>
    <s v="Person_259"/>
    <x v="16"/>
  </r>
  <r>
    <n v="1510"/>
    <d v="2026-05-10T00:00:00"/>
    <d v="1899-12-30T21:13:00"/>
    <s v="Person/Merchant Payment"/>
    <x v="0"/>
    <n v="150"/>
    <s v="Person_156"/>
    <x v="16"/>
  </r>
  <r>
    <n v="1511"/>
    <d v="2026-05-11T00:00:00"/>
    <d v="1899-12-30T18:44:00"/>
    <s v="Person/Merchant Payment"/>
    <x v="0"/>
    <n v="14"/>
    <s v="Person_342"/>
    <x v="16"/>
  </r>
  <r>
    <n v="1512"/>
    <d v="2026-05-12T00:00:00"/>
    <d v="1899-12-30T11:26:00"/>
    <s v="Person/Merchant Payment"/>
    <x v="0"/>
    <n v="300"/>
    <s v="Person_240"/>
    <x v="16"/>
  </r>
  <r>
    <n v="1513"/>
    <d v="2026-05-12T00:00:00"/>
    <d v="1899-12-30T11:33:00"/>
    <s v="Person/Merchant Payment"/>
    <x v="0"/>
    <n v="10"/>
    <s v="Person_147"/>
    <x v="16"/>
  </r>
  <r>
    <n v="1514"/>
    <d v="2026-05-12T00:00:00"/>
    <d v="1899-12-30T19:33:00"/>
    <s v="Person/Merchant Payment"/>
    <x v="0"/>
    <n v="96"/>
    <s v="Person_6"/>
    <x v="16"/>
  </r>
  <r>
    <n v="1515"/>
    <d v="2026-05-12T00:00:00"/>
    <d v="1899-12-30T19:33:00"/>
    <s v="UPI Lite Top-up"/>
    <x v="0"/>
    <n v="100"/>
    <s v="Person_4"/>
    <x v="16"/>
  </r>
  <r>
    <n v="1516"/>
    <d v="2026-05-12T00:00:00"/>
    <d v="1899-12-30T20:28:00"/>
    <s v="Person/Merchant Payment"/>
    <x v="0"/>
    <n v="2500"/>
    <s v="Person_50"/>
    <x v="16"/>
  </r>
  <r>
    <n v="1517"/>
    <d v="2026-05-12T00:00:00"/>
    <d v="1899-12-30T20:49:00"/>
    <s v="Money Received"/>
    <x v="1"/>
    <n v="3530"/>
    <s v="Person_17"/>
    <x v="16"/>
  </r>
  <r>
    <n v="1518"/>
    <d v="2026-05-12T00:00:00"/>
    <d v="1899-12-30T20:53:00"/>
    <s v="Person/Merchant Payment"/>
    <x v="0"/>
    <n v="100"/>
    <s v="Person_17"/>
    <x v="16"/>
  </r>
  <r>
    <n v="1519"/>
    <d v="2026-05-12T00:00:00"/>
    <d v="1899-12-30T21:06:00"/>
    <s v="UPI Lite Top-up"/>
    <x v="0"/>
    <n v="100"/>
    <s v="Person_4"/>
    <x v="16"/>
  </r>
  <r>
    <n v="1520"/>
    <d v="2026-05-13T00:00:00"/>
    <d v="1899-12-30T12:54:00"/>
    <s v="Money Received"/>
    <x v="1"/>
    <n v="300"/>
    <s v="Person_259"/>
    <x v="16"/>
  </r>
  <r>
    <n v="1521"/>
    <d v="2026-05-13T00:00:00"/>
    <d v="1899-12-30T15:45:00"/>
    <s v="Person/Merchant Payment"/>
    <x v="0"/>
    <n v="300"/>
    <s v="Person_343"/>
    <x v="16"/>
  </r>
  <r>
    <n v="1522"/>
    <d v="2026-05-13T00:00:00"/>
    <d v="1899-12-30T19:34:00"/>
    <s v="Money Received"/>
    <x v="1"/>
    <n v="300"/>
    <s v="Person_155"/>
    <x v="16"/>
  </r>
  <r>
    <n v="1523"/>
    <d v="2026-05-13T00:00:00"/>
    <d v="1899-12-30T20:10:00"/>
    <s v="Money Received"/>
    <x v="1"/>
    <n v="177"/>
    <s v="Person_11"/>
    <x v="16"/>
  </r>
  <r>
    <n v="1524"/>
    <d v="2026-05-13T00:00:00"/>
    <d v="1899-12-30T20:11:00"/>
    <s v="Person/Merchant Payment"/>
    <x v="0"/>
    <n v="177"/>
    <s v="ZEPTO MARKETPLACE PRIVATE LIMITED"/>
    <x v="16"/>
  </r>
  <r>
    <n v="1525"/>
    <d v="2026-05-13T00:00:00"/>
    <d v="1899-12-30T20:35:00"/>
    <s v="Others"/>
    <x v="0"/>
    <n v="164"/>
    <s v="Person_29"/>
    <x v="16"/>
  </r>
  <r>
    <n v="1526"/>
    <d v="2026-05-13T00:00:00"/>
    <d v="1899-12-30T22:42:00"/>
    <s v="Recharge"/>
    <x v="0"/>
    <n v="22"/>
    <s v="Person_18"/>
    <x v="16"/>
  </r>
  <r>
    <n v="1527"/>
    <d v="2026-05-14T00:00:00"/>
    <d v="1899-12-30T11:42:00"/>
    <s v="Person/Merchant Payment"/>
    <x v="0"/>
    <n v="3430"/>
    <s v="Person_17"/>
    <x v="16"/>
  </r>
  <r>
    <n v="1528"/>
    <d v="2026-05-14T00:00:00"/>
    <d v="1899-12-30T19:12:00"/>
    <s v="Person/Merchant Payment"/>
    <x v="0"/>
    <n v="25"/>
    <s v="Person_257"/>
    <x v="16"/>
  </r>
  <r>
    <n v="1529"/>
    <d v="2026-05-15T00:00:00"/>
    <d v="1899-12-30T23:45:00"/>
    <s v="Person/Merchant Payment"/>
    <x v="0"/>
    <n v="300"/>
    <s v="Person_259"/>
    <x v="16"/>
  </r>
  <r>
    <n v="1530"/>
    <d v="2026-05-16T00:00:00"/>
    <d v="1899-12-30T10:08:00"/>
    <s v="Money Received"/>
    <x v="1"/>
    <n v="294"/>
    <s v="Person_11"/>
    <x v="16"/>
  </r>
  <r>
    <n v="1531"/>
    <d v="2026-05-16T00:00:00"/>
    <d v="1899-12-30T10:09:00"/>
    <s v="Person/Merchant Payment"/>
    <x v="0"/>
    <n v="294"/>
    <s v="ZEPTO MARKETPLACE PRIVATE LIMITED"/>
    <x v="16"/>
  </r>
  <r>
    <n v="1532"/>
    <d v="2026-05-16T00:00:00"/>
    <d v="1899-12-30T14:17:00"/>
    <s v="Person/Merchant Payment"/>
    <x v="0"/>
    <n v="20"/>
    <s v="Person_344"/>
    <x v="16"/>
  </r>
  <r>
    <n v="1533"/>
    <d v="2026-05-18T00:00:00"/>
    <d v="1899-12-30T19:58:00"/>
    <s v="Money Received"/>
    <x v="1"/>
    <n v="213"/>
    <s v="Person_10"/>
    <x v="16"/>
  </r>
  <r>
    <n v="1534"/>
    <d v="2026-05-18T00:00:00"/>
    <d v="1899-12-30T20:00:00"/>
    <s v="Person/Merchant Payment"/>
    <x v="0"/>
    <n v="213"/>
    <s v="ZEPTO MARKETPLACE PRIVATE LIMITED"/>
    <x v="16"/>
  </r>
  <r>
    <n v="1535"/>
    <d v="2026-05-19T00:00:00"/>
    <d v="1899-12-30T18:54:00"/>
    <s v="Money Received"/>
    <x v="1"/>
    <n v="500"/>
    <s v="Person_2"/>
    <x v="16"/>
  </r>
  <r>
    <n v="1536"/>
    <d v="2026-05-19T00:00:00"/>
    <d v="1899-12-30T20:36:00"/>
    <s v="Person/Merchant Payment"/>
    <x v="0"/>
    <n v="154"/>
    <s v="Person_329"/>
    <x v="16"/>
  </r>
  <r>
    <n v="1537"/>
    <d v="2026-05-19T00:00:00"/>
    <d v="1899-12-30T20:46:00"/>
    <s v="Person/Merchant Payment"/>
    <x v="0"/>
    <n v="125"/>
    <s v="Person_47"/>
    <x v="16"/>
  </r>
  <r>
    <n v="1538"/>
    <d v="2026-05-19T00:00:00"/>
    <d v="1899-12-30T21:59:00"/>
    <s v="Person/Merchant Payment"/>
    <x v="0"/>
    <n v="400"/>
    <s v="Person_2"/>
    <x v="16"/>
  </r>
  <r>
    <n v="1539"/>
    <d v="2026-05-21T00:00:00"/>
    <d v="1899-12-30T10:39:00"/>
    <s v="Person/Merchant Payment"/>
    <x v="0"/>
    <n v="20"/>
    <s v="Person_345"/>
    <x v="16"/>
  </r>
  <r>
    <n v="1540"/>
    <d v="2026-05-21T00:00:00"/>
    <d v="1899-12-30T10:40:00"/>
    <s v="Money Received"/>
    <x v="1"/>
    <n v="200"/>
    <s v="Person_3"/>
    <x v="16"/>
  </r>
  <r>
    <n v="1541"/>
    <d v="2026-05-21T00:00:00"/>
    <d v="1899-12-30T10:47:00"/>
    <s v="Money Received"/>
    <x v="1"/>
    <n v="8000"/>
    <s v="Person_346"/>
    <x v="16"/>
  </r>
  <r>
    <n v="1542"/>
    <d v="2026-05-21T00:00:00"/>
    <d v="1899-12-30T10:54:00"/>
    <s v="Education/Fees"/>
    <x v="0"/>
    <n v="1200"/>
    <s v="Person_5"/>
    <x v="16"/>
  </r>
  <r>
    <n v="1543"/>
    <d v="2026-05-21T00:00:00"/>
    <d v="1899-12-30T11:16:00"/>
    <s v="Person/Merchant Payment"/>
    <x v="0"/>
    <n v="6800"/>
    <s v="Person_172"/>
    <x v="16"/>
  </r>
  <r>
    <n v="1544"/>
    <d v="2026-05-21T00:00:00"/>
    <d v="1899-12-30T12:43:00"/>
    <s v="Person/Merchant Payment"/>
    <x v="0"/>
    <n v="800"/>
    <s v="Person_2"/>
    <x v="16"/>
  </r>
  <r>
    <n v="1545"/>
    <d v="2026-05-21T00:00:00"/>
    <d v="1899-12-30T15:14:00"/>
    <s v="Person/Merchant Payment"/>
    <x v="0"/>
    <n v="166"/>
    <s v="Person_329"/>
    <x v="16"/>
  </r>
  <r>
    <n v="1546"/>
    <d v="2026-05-21T00:00:00"/>
    <d v="1899-12-30T23:45:00"/>
    <s v="Person/Merchant Payment"/>
    <x v="0"/>
    <n v="430"/>
    <s v="Person_6"/>
    <x v="16"/>
  </r>
  <r>
    <n v="1547"/>
    <d v="2026-05-22T00:00:00"/>
    <d v="1899-12-30T11:17:00"/>
    <s v="Money Received"/>
    <x v="1"/>
    <n v="1200"/>
    <s v="Person_3"/>
    <x v="16"/>
  </r>
  <r>
    <n v="1548"/>
    <d v="2026-05-22T00:00:00"/>
    <d v="1899-12-30T11:18:00"/>
    <s v="Education/Fees"/>
    <x v="0"/>
    <n v="1200"/>
    <s v="Person_5"/>
    <x v="16"/>
  </r>
  <r>
    <n v="1549"/>
    <d v="2026-05-22T00:00:00"/>
    <d v="1899-12-30T13:24:00"/>
    <s v="Person/Merchant Payment"/>
    <x v="0"/>
    <n v="992"/>
    <s v="Person_17"/>
    <x v="16"/>
  </r>
  <r>
    <n v="1550"/>
    <d v="2026-05-22T00:00:00"/>
    <d v="1899-12-30T13:25:00"/>
    <s v="UPI Lite Top-up"/>
    <x v="0"/>
    <n v="450"/>
    <s v="Person_4"/>
    <x v="16"/>
  </r>
  <r>
    <n v="1551"/>
    <d v="2026-05-22T00:00:00"/>
    <d v="1899-12-30T13:38:00"/>
    <s v="Person/Merchant Payment"/>
    <x v="0"/>
    <n v="6000"/>
    <s v="Person_6"/>
    <x v="16"/>
  </r>
  <r>
    <n v="1552"/>
    <d v="2026-05-23T00:00:00"/>
    <d v="1899-12-30T08:59:00"/>
    <s v="Person/Merchant Payment"/>
    <x v="0"/>
    <n v="20"/>
    <s v="Person_138"/>
    <x v="16"/>
  </r>
  <r>
    <n v="1553"/>
    <d v="2026-05-24T00:00:00"/>
    <d v="1899-12-30T12:40:00"/>
    <s v="Person/Merchant Payment"/>
    <x v="0"/>
    <n v="14"/>
    <s v="Person_138"/>
    <x v="16"/>
  </r>
  <r>
    <n v="1554"/>
    <d v="2026-05-25T00:00:00"/>
    <d v="1899-12-30T14:39:00"/>
    <s v="Person/Merchant Payment"/>
    <x v="0"/>
    <n v="10"/>
    <s v="Person_103"/>
    <x v="16"/>
  </r>
  <r>
    <n v="1555"/>
    <d v="2026-05-27T00:00:00"/>
    <d v="1899-12-30T20:39:00"/>
    <s v="Money Received"/>
    <x v="1"/>
    <n v="150"/>
    <s v="Person_37"/>
    <x v="16"/>
  </r>
  <r>
    <n v="1556"/>
    <d v="2026-05-28T00:00:00"/>
    <d v="1899-12-30T21:43:00"/>
    <s v="Money Received"/>
    <x v="1"/>
    <n v="700"/>
    <s v="Person_12"/>
    <x v="16"/>
  </r>
  <r>
    <n v="1557"/>
    <d v="2026-05-28T00:00:00"/>
    <d v="1899-12-30T21:47:00"/>
    <s v="Person/Merchant Payment"/>
    <x v="0"/>
    <n v="500"/>
    <s v="Person_50"/>
    <x v="16"/>
  </r>
  <r>
    <n v="1558"/>
    <d v="2026-05-28T00:00:00"/>
    <d v="1899-12-30T21:48:00"/>
    <s v="Person/Merchant Payment"/>
    <x v="0"/>
    <n v="200"/>
    <s v="Person_193"/>
    <x v="16"/>
  </r>
  <r>
    <n v="1559"/>
    <d v="2026-05-29T00:00:00"/>
    <d v="1899-12-30T18:25:00"/>
    <s v="Money Received"/>
    <x v="1"/>
    <n v="1000"/>
    <s v="Person_333"/>
    <x v="16"/>
  </r>
  <r>
    <n v="1560"/>
    <d v="2026-05-30T00:00:00"/>
    <d v="1899-12-30T14:01:00"/>
    <s v="Person/Merchant Payment"/>
    <x v="0"/>
    <n v="280"/>
    <s v="Person_17"/>
    <x v="16"/>
  </r>
  <r>
    <n v="1561"/>
    <d v="2026-05-31T00:00:00"/>
    <d v="1899-12-30T14:33:00"/>
    <s v="Money Received"/>
    <x v="1"/>
    <n v="800"/>
    <s v="Person_2"/>
    <x v="16"/>
  </r>
  <r>
    <n v="1562"/>
    <d v="2026-05-31T00:00:00"/>
    <d v="1899-12-30T15:01:00"/>
    <s v="Person/Merchant Payment"/>
    <x v="0"/>
    <n v="1000"/>
    <s v="Person_198"/>
    <x v="16"/>
  </r>
  <r>
    <n v="1563"/>
    <d v="2026-05-31T00:00:00"/>
    <d v="1899-12-30T16:49:00"/>
    <s v="Person/Merchant Payment"/>
    <x v="0"/>
    <n v="500"/>
    <s v="Person_240"/>
    <x v="16"/>
  </r>
  <r>
    <n v="1564"/>
    <d v="2026-06-02T00:00:00"/>
    <d v="1899-12-30T17:17:00"/>
    <s v="Person/Merchant Payment"/>
    <x v="0"/>
    <n v="95"/>
    <s v="Person_347"/>
    <x v="17"/>
  </r>
  <r>
    <n v="1565"/>
    <d v="2026-06-02T00:00:00"/>
    <d v="1899-12-30T20:48:00"/>
    <s v="Money Received"/>
    <x v="1"/>
    <n v="2130"/>
    <s v="Person_12"/>
    <x v="17"/>
  </r>
  <r>
    <n v="1566"/>
    <d v="2026-06-02T00:00:00"/>
    <d v="1899-12-30T21:29:00"/>
    <s v="Recharge"/>
    <x v="0"/>
    <n v="22"/>
    <s v="Person_18"/>
    <x v="17"/>
  </r>
  <r>
    <n v="1567"/>
    <d v="2026-06-03T00:00:00"/>
    <d v="1899-12-30T12:56:00"/>
    <s v="Money Received"/>
    <x v="1"/>
    <n v="500"/>
    <s v="Person_348"/>
    <x v="17"/>
  </r>
  <r>
    <n v="1568"/>
    <d v="2026-06-03T00:00:00"/>
    <d v="1899-12-30T12:57:00"/>
    <s v="Person/Merchant Payment"/>
    <x v="0"/>
    <n v="2500"/>
    <s v="Person_349"/>
    <x v="17"/>
  </r>
  <r>
    <n v="1569"/>
    <d v="2026-06-03T00:00:00"/>
    <d v="1899-12-30T12:58:00"/>
    <s v="Money Received"/>
    <x v="1"/>
    <n v="200"/>
    <s v="Person_50"/>
    <x v="17"/>
  </r>
  <r>
    <n v="1570"/>
    <d v="2026-06-03T00:00:00"/>
    <d v="1899-12-30T13:01:00"/>
    <s v="Person/Merchant Payment"/>
    <x v="0"/>
    <n v="200"/>
    <s v="Person_50"/>
    <x v="17"/>
  </r>
  <r>
    <n v="1571"/>
    <d v="2026-06-03T00:00:00"/>
    <d v="1899-12-30T13:04:00"/>
    <s v="Person/Merchant Payment"/>
    <x v="0"/>
    <n v="200"/>
    <s v="Person_50"/>
    <x v="17"/>
  </r>
  <r>
    <n v="1572"/>
    <d v="2026-06-03T00:00:00"/>
    <d v="1899-12-30T13:04:00"/>
    <s v="Money Received"/>
    <x v="1"/>
    <n v="200"/>
    <s v="Person_50"/>
    <x v="17"/>
  </r>
  <r>
    <n v="1573"/>
    <d v="2026-06-04T00:00:00"/>
    <d v="1899-12-30T12:23:00"/>
    <s v="Person/Merchant Payment"/>
    <x v="0"/>
    <n v="2000"/>
    <s v="Person_6"/>
    <x v="17"/>
  </r>
  <r>
    <n v="1574"/>
    <d v="2026-06-04T00:00:00"/>
    <d v="1899-12-30T17:23:00"/>
    <s v="Recharge"/>
    <x v="0"/>
    <n v="26"/>
    <s v="Person_18"/>
    <x v="17"/>
  </r>
  <r>
    <n v="1575"/>
    <d v="2026-06-04T00:00:00"/>
    <d v="1899-12-30T17:27:00"/>
    <s v="Money Received"/>
    <x v="1"/>
    <n v="500"/>
    <s v="Person_331"/>
    <x v="17"/>
  </r>
  <r>
    <n v="1576"/>
    <d v="2026-06-04T00:00:00"/>
    <d v="1899-12-30T17:29:00"/>
    <s v="UPI Lite Top-up"/>
    <x v="0"/>
    <n v="500"/>
    <s v="Person_4"/>
    <x v="17"/>
  </r>
  <r>
    <n v="1577"/>
    <d v="2026-06-04T00:00:00"/>
    <d v="1899-12-30T22:54:00"/>
    <s v="Person/Merchant Payment"/>
    <x v="0"/>
    <n v="300"/>
    <s v="Person_156"/>
    <x v="17"/>
  </r>
  <r>
    <n v="1578"/>
    <d v="2026-06-04T00:00:00"/>
    <d v="1899-12-30T22:54:00"/>
    <s v="UPI Lite Top-up"/>
    <x v="0"/>
    <n v="300"/>
    <s v="Person_4"/>
    <x v="17"/>
  </r>
  <r>
    <n v="1579"/>
    <d v="2026-06-05T00:00:00"/>
    <d v="1899-12-30T16:03:00"/>
    <s v="Person/Merchant Payment"/>
    <x v="0"/>
    <n v="50"/>
    <s v="Person_50"/>
    <x v="17"/>
  </r>
  <r>
    <n v="1580"/>
    <d v="2026-06-05T00:00:00"/>
    <d v="1899-12-30T16:59:00"/>
    <s v="Money Received"/>
    <x v="1"/>
    <n v="100"/>
    <s v="Person_2"/>
    <x v="17"/>
  </r>
  <r>
    <n v="1581"/>
    <d v="2026-06-05T00:00:00"/>
    <d v="1899-12-30T17:21:00"/>
    <s v="Person/Merchant Payment"/>
    <x v="0"/>
    <n v="79"/>
    <s v="Person_350"/>
    <x v="17"/>
  </r>
  <r>
    <n v="1582"/>
    <d v="2026-06-07T00:00:00"/>
    <d v="1899-12-30T18:46:00"/>
    <s v="Money Received"/>
    <x v="1"/>
    <n v="6800"/>
    <s v="Person_17"/>
    <x v="17"/>
  </r>
  <r>
    <n v="1583"/>
    <d v="2026-06-08T00:00:00"/>
    <d v="1899-12-30T13:10:00"/>
    <s v="Person/Merchant Payment"/>
    <x v="0"/>
    <n v="2500"/>
    <s v="Person_50"/>
    <x v="17"/>
  </r>
  <r>
    <n v="1584"/>
    <d v="2026-06-08T00:00:00"/>
    <d v="1899-12-30T13:40:00"/>
    <s v="Person/Merchant Payment"/>
    <x v="0"/>
    <n v="150"/>
    <s v="Person_50"/>
    <x v="17"/>
  </r>
  <r>
    <n v="1585"/>
    <d v="2026-06-09T00:00:00"/>
    <d v="1899-12-30T09:57:00"/>
    <s v="Person/Merchant Payment"/>
    <x v="0"/>
    <n v="200"/>
    <s v="Person_50"/>
    <x v="17"/>
  </r>
  <r>
    <n v="1586"/>
    <d v="2026-06-12T00:00:00"/>
    <d v="1899-12-30T14:05:00"/>
    <s v="Person/Merchant Payment"/>
    <x v="0"/>
    <n v="350"/>
    <s v="Person_351"/>
    <x v="17"/>
  </r>
  <r>
    <n v="1587"/>
    <d v="2026-06-14T00:00:00"/>
    <d v="1899-12-30T15:08:00"/>
    <s v="Money Received"/>
    <x v="1"/>
    <n v="500"/>
    <s v="Person_12"/>
    <x v="17"/>
  </r>
  <r>
    <n v="1588"/>
    <d v="2026-06-14T00:00:00"/>
    <d v="1899-12-30T18:07:00"/>
    <s v="Money Received"/>
    <x v="1"/>
    <n v="600"/>
    <s v="Person_12"/>
    <x v="17"/>
  </r>
  <r>
    <n v="1589"/>
    <d v="2026-06-14T00:00:00"/>
    <d v="1899-12-30T20:31:00"/>
    <s v="UPI Lite Top-up"/>
    <x v="0"/>
    <n v="1100"/>
    <s v="Person_4"/>
    <x v="17"/>
  </r>
  <r>
    <n v="1590"/>
    <d v="2026-06-15T00:00:00"/>
    <d v="1899-12-30T11:49:00"/>
    <s v="Person/Merchant Payment"/>
    <x v="0"/>
    <n v="1000"/>
    <s v="Person_12"/>
    <x v="17"/>
  </r>
  <r>
    <n v="1591"/>
    <d v="2026-06-15T00:00:00"/>
    <d v="1899-12-30T11:49:00"/>
    <s v="Person/Merchant Payment"/>
    <x v="0"/>
    <n v="100"/>
    <s v="Person_12"/>
    <x v="17"/>
  </r>
  <r>
    <n v="1592"/>
    <d v="2026-06-16T00:00:00"/>
    <d v="1899-12-30T15:15:00"/>
    <s v="Person/Merchant Payment"/>
    <x v="0"/>
    <n v="300"/>
    <s v="Person_240"/>
    <x v="17"/>
  </r>
  <r>
    <n v="1593"/>
    <d v="2026-06-19T00:00:00"/>
    <d v="1899-12-30T09:52:00"/>
    <s v="Money Received"/>
    <x v="1"/>
    <n v="25000"/>
    <s v="Person_352"/>
    <x v="17"/>
  </r>
  <r>
    <n v="1594"/>
    <d v="2026-06-19T00:00:00"/>
    <d v="1899-12-30T09:56:00"/>
    <s v="Money Received"/>
    <x v="1"/>
    <n v="25000"/>
    <s v="Person_352"/>
    <x v="17"/>
  </r>
  <r>
    <n v="1595"/>
    <d v="2026-06-19T00:00:00"/>
    <d v="1899-12-30T21:58:00"/>
    <s v="Person/Merchant Payment"/>
    <x v="0"/>
    <n v="205"/>
    <s v="Person_353"/>
    <x v="17"/>
  </r>
  <r>
    <n v="1596"/>
    <d v="2026-06-20T00:00:00"/>
    <d v="1899-12-30T09:57:00"/>
    <s v="Person/Merchant Payment"/>
    <x v="0"/>
    <n v="10000"/>
    <s v="Person_17"/>
    <x v="17"/>
  </r>
  <r>
    <n v="1597"/>
    <d v="2026-06-20T00:00:00"/>
    <d v="1899-12-30T11:29:00"/>
    <s v="Person/Merchant Payment"/>
    <x v="0"/>
    <n v="10000"/>
    <s v="Person_172"/>
    <x v="17"/>
  </r>
  <r>
    <n v="1598"/>
    <d v="2026-06-20T00:00:00"/>
    <d v="1899-12-30T12:32:00"/>
    <s v="Money Received"/>
    <x v="1"/>
    <n v="500"/>
    <s v="Person_354"/>
    <x v="17"/>
  </r>
  <r>
    <n v="1599"/>
    <d v="2026-06-20T00:00:00"/>
    <d v="1899-12-30T13:26:00"/>
    <s v="Money Received"/>
    <x v="1"/>
    <n v="40"/>
    <s v="Person_2"/>
    <x v="17"/>
  </r>
  <r>
    <n v="1600"/>
    <d v="2026-06-20T00:00:00"/>
    <d v="1899-12-30T14:01:00"/>
    <s v="Money Received"/>
    <x v="1"/>
    <n v="50"/>
    <s v="Person_17"/>
    <x v="17"/>
  </r>
  <r>
    <n v="1601"/>
    <d v="2026-06-20T00:00:00"/>
    <d v="1899-12-30T14:02:00"/>
    <s v="Person/Merchant Payment"/>
    <x v="0"/>
    <n v="620"/>
    <s v="Person_355"/>
    <x v="17"/>
  </r>
  <r>
    <n v="1602"/>
    <d v="2026-06-20T00:00:00"/>
    <d v="1899-12-30T20:00:00"/>
    <s v="Person/Merchant Payment"/>
    <x v="0"/>
    <n v="2000"/>
    <s v="Person_209"/>
    <x v="17"/>
  </r>
  <r>
    <n v="1603"/>
    <d v="2026-06-21T00:00:00"/>
    <d v="1899-12-30T20:08:00"/>
    <s v="Person/Merchant Payment"/>
    <x v="0"/>
    <n v="110"/>
    <s v="Person_356"/>
    <x v="17"/>
  </r>
  <r>
    <n v="1604"/>
    <d v="2026-06-21T00:00:00"/>
    <d v="1899-12-30T20:10:00"/>
    <s v="Person/Merchant Payment"/>
    <x v="0"/>
    <n v="24"/>
    <s v="Person_357"/>
    <x v="17"/>
  </r>
  <r>
    <n v="1605"/>
    <d v="2026-06-21T00:00:00"/>
    <d v="1899-12-30T21:59:00"/>
    <s v="Person/Merchant Payment"/>
    <x v="0"/>
    <n v="30"/>
    <s v="Person_357"/>
    <x v="17"/>
  </r>
  <r>
    <n v="1606"/>
    <d v="2026-06-21T00:00:00"/>
    <d v="1899-12-30T22:37:00"/>
    <s v="Person/Merchant Payment"/>
    <x v="0"/>
    <n v="1"/>
    <s v="Person_358"/>
    <x v="17"/>
  </r>
  <r>
    <n v="1607"/>
    <d v="2026-06-21T00:00:00"/>
    <d v="1899-12-30T22:37:00"/>
    <s v="Money Received"/>
    <x v="1"/>
    <n v="1000"/>
    <s v="Person_359"/>
    <x v="17"/>
  </r>
  <r>
    <n v="1608"/>
    <d v="2026-06-21T00:00:00"/>
    <d v="1899-12-30T22:41:00"/>
    <s v="Person/Merchant Payment"/>
    <x v="0"/>
    <n v="9320"/>
    <s v="Person_156"/>
    <x v="17"/>
  </r>
  <r>
    <n v="1609"/>
    <d v="2026-06-21T00:00:00"/>
    <d v="1899-12-30T22:43:00"/>
    <s v="Person/Merchant Payment"/>
    <x v="0"/>
    <n v="48"/>
    <s v="Person_172"/>
    <x v="17"/>
  </r>
  <r>
    <n v="1610"/>
    <d v="2026-06-21T00:00:00"/>
    <d v="1899-12-30T22:44:00"/>
    <s v="Person/Merchant Payment"/>
    <x v="0"/>
    <n v="96"/>
    <s v="Person_172"/>
    <x v="17"/>
  </r>
  <r>
    <n v="1611"/>
    <d v="2026-06-21T00:00:00"/>
    <d v="1899-12-30T22:47:00"/>
    <s v="Person/Merchant Payment"/>
    <x v="0"/>
    <n v="27800"/>
    <s v="Person_172"/>
    <x v="17"/>
  </r>
  <r>
    <n v="1612"/>
    <d v="2026-06-21T00:00:00"/>
    <d v="1899-12-30T22:49:00"/>
    <s v="Person/Merchant Payment"/>
    <x v="0"/>
    <n v="870"/>
    <s v="Person_6"/>
    <x v="17"/>
  </r>
  <r>
    <n v="1613"/>
    <d v="2026-06-21T00:00:00"/>
    <d v="1899-12-30T22:49:00"/>
    <s v="UPI Lite Top-up"/>
    <x v="0"/>
    <n v="878"/>
    <s v="Person_4"/>
    <x v="17"/>
  </r>
  <r>
    <n v="1614"/>
    <d v="2026-06-22T00:00:00"/>
    <d v="1899-12-30T07:45:00"/>
    <s v="Person/Merchant Payment"/>
    <x v="0"/>
    <n v="2000"/>
    <s v="Person_209"/>
    <x v="17"/>
  </r>
  <r>
    <n v="1615"/>
    <d v="2026-06-22T00:00:00"/>
    <d v="1899-12-30T14:16:00"/>
    <s v="Person/Merchant Payment"/>
    <x v="0"/>
    <n v="10000"/>
    <s v="Person_360"/>
    <x v="17"/>
  </r>
  <r>
    <n v="1616"/>
    <d v="2026-06-23T00:00:00"/>
    <d v="1899-12-30T10:05:00"/>
    <s v="Person/Merchant Payment"/>
    <x v="0"/>
    <n v="45"/>
    <s v="Person_361"/>
    <x v="17"/>
  </r>
  <r>
    <n v="1617"/>
    <d v="2026-06-23T00:00:00"/>
    <d v="1899-12-30T11:58:00"/>
    <s v="Person/Merchant Payment"/>
    <x v="0"/>
    <n v="4000"/>
    <s v="Person_12"/>
    <x v="17"/>
  </r>
  <r>
    <n v="1618"/>
    <d v="2026-06-23T00:00:00"/>
    <d v="1899-12-30T13:32:00"/>
    <s v="Money Received"/>
    <x v="1"/>
    <n v="45"/>
    <s v="Person_12"/>
    <x v="17"/>
  </r>
  <r>
    <n v="1619"/>
    <d v="2026-06-23T00:00:00"/>
    <d v="1899-12-30T13:33:00"/>
    <s v="Person/Merchant Payment"/>
    <x v="0"/>
    <n v="45"/>
    <s v="Person_12"/>
    <x v="17"/>
  </r>
  <r>
    <n v="1620"/>
    <d v="2026-06-23T00:00:00"/>
    <d v="1899-12-30T13:34:00"/>
    <s v="UPI Lite Top-up"/>
    <x v="0"/>
    <n v="45"/>
    <s v="Person_4"/>
    <x v="17"/>
  </r>
  <r>
    <n v="1621"/>
    <d v="2026-06-23T00:00:00"/>
    <d v="1899-12-30T14:20:00"/>
    <s v="Person/Merchant Payment"/>
    <x v="0"/>
    <n v="62"/>
    <s v="Person_362"/>
    <x v="17"/>
  </r>
  <r>
    <n v="1622"/>
    <d v="2026-06-23T00:00:00"/>
    <d v="1899-12-30T14:27:00"/>
    <s v="Person/Merchant Payment"/>
    <x v="0"/>
    <n v="129"/>
    <s v="Person_17"/>
    <x v="17"/>
  </r>
  <r>
    <n v="1623"/>
    <d v="2026-06-24T00:00:00"/>
    <d v="1899-12-30T15:37:00"/>
    <s v="Person/Merchant Payment"/>
    <x v="0"/>
    <n v="982"/>
    <s v="Person_17"/>
    <x v="17"/>
  </r>
  <r>
    <n v="1624"/>
    <d v="2026-06-24T00:00:00"/>
    <d v="1899-12-30T15:38:00"/>
    <s v="UPI Lite Top-up"/>
    <x v="0"/>
    <n v="400"/>
    <s v="Person_4"/>
    <x v="17"/>
  </r>
  <r>
    <n v="1625"/>
    <d v="2026-06-24T00:00:00"/>
    <d v="1899-12-30T15:38:00"/>
    <s v="Person/Merchant Payment"/>
    <x v="0"/>
    <n v="400"/>
    <s v="Person_6"/>
    <x v="17"/>
  </r>
  <r>
    <n v="1626"/>
    <d v="2026-06-25T00:00:00"/>
    <d v="1899-12-30T13:37:00"/>
    <s v="Person/Merchant Payment"/>
    <x v="0"/>
    <n v="2000"/>
    <s v="Person_363"/>
    <x v="17"/>
  </r>
  <r>
    <n v="1627"/>
    <d v="2026-06-25T00:00:00"/>
    <d v="1899-12-30T15:56:00"/>
    <s v="Person/Merchant Payment"/>
    <x v="0"/>
    <n v="2300"/>
    <s v="Person_198"/>
    <x v="17"/>
  </r>
  <r>
    <n v="1628"/>
    <d v="2026-06-25T00:00:00"/>
    <d v="1899-12-30T18:39:00"/>
    <s v="Person/Merchant Payment"/>
    <x v="0"/>
    <n v="1500"/>
    <s v="Person_240"/>
    <x v="17"/>
  </r>
  <r>
    <n v="1629"/>
    <d v="2026-06-25T00:00:00"/>
    <d v="1899-12-30T19:41:00"/>
    <s v="Person/Merchant Payment"/>
    <x v="0"/>
    <n v="1000"/>
    <s v="Person_198"/>
    <x v="17"/>
  </r>
  <r>
    <n v="1630"/>
    <d v="2026-06-26T00:00:00"/>
    <d v="1899-12-30T12:12:00"/>
    <s v="Money Received"/>
    <x v="1"/>
    <n v="1500"/>
    <s v="Person_331"/>
    <x v="17"/>
  </r>
  <r>
    <n v="1631"/>
    <d v="2026-06-26T00:00:00"/>
    <d v="1899-12-30T16:50:00"/>
    <s v="Person/Merchant Payment"/>
    <x v="0"/>
    <n v="730"/>
    <s v="Person_364"/>
    <x v="17"/>
  </r>
  <r>
    <n v="1632"/>
    <d v="2026-06-26T00:00:00"/>
    <d v="1899-12-30T19:34:00"/>
    <s v="Money Received"/>
    <x v="1"/>
    <n v="100"/>
    <s v="Person_12"/>
    <x v="17"/>
  </r>
  <r>
    <n v="1633"/>
    <d v="2026-06-26T00:00:00"/>
    <d v="1899-12-30T20:10:00"/>
    <s v="Person/Merchant Payment"/>
    <x v="0"/>
    <n v="110"/>
    <s v="Person_50"/>
    <x v="17"/>
  </r>
  <r>
    <n v="1634"/>
    <d v="2026-06-26T00:00:00"/>
    <d v="1899-12-30T20:12:00"/>
    <s v="Person/Merchant Payment"/>
    <x v="0"/>
    <n v="4800"/>
    <s v="Person_6"/>
    <x v="17"/>
  </r>
  <r>
    <n v="1635"/>
    <d v="2026-06-26T00:00:00"/>
    <d v="1899-12-30T21:38:00"/>
    <s v="Person/Merchant Payment"/>
    <x v="0"/>
    <n v="1000"/>
    <s v="Person_198"/>
    <x v="17"/>
  </r>
  <r>
    <n v="1636"/>
    <d v="2026-06-27T00:00:00"/>
    <d v="1899-12-30T09:15:00"/>
    <s v="Person/Merchant Payment"/>
    <x v="0"/>
    <n v="524"/>
    <s v="Person_365"/>
    <x v="17"/>
  </r>
  <r>
    <n v="1637"/>
    <d v="2026-06-27T00:00:00"/>
    <d v="1899-12-30T13:47:00"/>
    <s v="Person/Merchant Payment"/>
    <x v="0"/>
    <n v="400"/>
    <s v="Person_331"/>
    <x v="17"/>
  </r>
  <r>
    <n v="1638"/>
    <d v="2026-06-27T00:00:00"/>
    <d v="1899-12-30T13:59:00"/>
    <s v="Person/Merchant Payment"/>
    <x v="0"/>
    <n v="300"/>
    <s v="Person_198"/>
    <x v="17"/>
  </r>
  <r>
    <n v="1639"/>
    <d v="2026-06-29T00:00:00"/>
    <d v="1899-12-30T01:29:00"/>
    <s v="Person/Merchant Payment"/>
    <x v="0"/>
    <n v="887"/>
    <s v="Person_17"/>
    <x v="17"/>
  </r>
  <r>
    <n v="1640"/>
    <d v="2026-06-29T00:00:00"/>
    <d v="1899-12-30T01:47:00"/>
    <s v="Person/Merchant Payment"/>
    <x v="0"/>
    <n v="100"/>
    <s v="Person_50"/>
    <x v="17"/>
  </r>
  <r>
    <n v="1641"/>
    <d v="2026-06-29T00:00:00"/>
    <d v="1899-12-30T15:22:00"/>
    <s v="Money Received"/>
    <x v="1"/>
    <n v="1000"/>
    <s v="Person_17"/>
    <x v="17"/>
  </r>
  <r>
    <n v="1642"/>
    <d v="2026-06-29T00:00:00"/>
    <d v="1899-12-30T15:22:00"/>
    <s v="Money Received"/>
    <x v="1"/>
    <n v="69"/>
    <s v="Person_17"/>
    <x v="17"/>
  </r>
  <r>
    <n v="1643"/>
    <d v="2026-06-29T00:00:00"/>
    <d v="1899-12-30T15:23:00"/>
    <s v="Person/Merchant Payment"/>
    <x v="0"/>
    <n v="1069"/>
    <s v="Person_17"/>
    <x v="17"/>
  </r>
  <r>
    <n v="1644"/>
    <d v="2026-06-29T00:00:00"/>
    <d v="1899-12-30T17:50:00"/>
    <s v="Person/Merchant Payment"/>
    <x v="0"/>
    <n v="100"/>
    <s v="Person_366"/>
    <x v="17"/>
  </r>
  <r>
    <n v="1645"/>
    <d v="2026-06-29T00:00:00"/>
    <d v="1899-12-30T19:08:00"/>
    <s v="Person/Merchant Payment"/>
    <x v="0"/>
    <n v="2000"/>
    <s v="Person_84"/>
    <x v="17"/>
  </r>
  <r>
    <n v="1646"/>
    <d v="2026-06-29T00:00:00"/>
    <d v="1899-12-30T19:38:00"/>
    <s v="Money Received"/>
    <x v="1"/>
    <n v="1500"/>
    <s v="Person_367"/>
    <x v="17"/>
  </r>
  <r>
    <n v="1647"/>
    <d v="2026-06-30T00:00:00"/>
    <d v="1899-12-30T10:57:00"/>
    <s v="Person/Merchant Payment"/>
    <x v="0"/>
    <n v="5300"/>
    <s v="Person_368"/>
    <x v="17"/>
  </r>
  <r>
    <n v="1648"/>
    <d v="2026-06-30T00:00:00"/>
    <d v="1899-12-30T12:10:00"/>
    <s v="Person/Merchant Payment"/>
    <x v="0"/>
    <n v="2120"/>
    <s v="Person_369"/>
    <x v="17"/>
  </r>
  <r>
    <n v="1649"/>
    <d v="2026-06-30T00:00:00"/>
    <d v="1899-12-30T17:01:00"/>
    <s v="Money Received"/>
    <x v="1"/>
    <n v="1211"/>
    <s v="Person_156"/>
    <x v="17"/>
  </r>
  <r>
    <n v="1650"/>
    <d v="2026-06-30T00:00:00"/>
    <d v="1899-12-30T19:33:00"/>
    <s v="Person/Merchant Payment"/>
    <x v="0"/>
    <n v="2500"/>
    <s v="Person_332"/>
    <x v="17"/>
  </r>
  <r>
    <n v="1651"/>
    <d v="2026-06-30T00:00:00"/>
    <d v="1899-12-30T20:02:00"/>
    <s v="Money Received"/>
    <x v="1"/>
    <n v="500"/>
    <s v="Person_367"/>
    <x v="17"/>
  </r>
  <r>
    <n v="1652"/>
    <d v="2026-06-30T00:00:00"/>
    <d v="1899-12-30T21:35:00"/>
    <s v="Money Received"/>
    <x v="1"/>
    <n v="2000"/>
    <s v="Person_370"/>
    <x v="17"/>
  </r>
  <r>
    <n v="1653"/>
    <d v="2026-06-30T00:00:00"/>
    <d v="1899-12-30T21:38:00"/>
    <s v="Person/Merchant Payment"/>
    <x v="0"/>
    <n v="2000"/>
    <s v="Person_128"/>
    <x v="17"/>
  </r>
  <r>
    <n v="1654"/>
    <d v="2026-07-01T00:00:00"/>
    <d v="1899-12-30T20:30:00"/>
    <s v="Recharge"/>
    <x v="0"/>
    <n v="26"/>
    <s v="Person_18"/>
    <x v="18"/>
  </r>
  <r>
    <n v="1655"/>
    <d v="2026-07-02T00:00:00"/>
    <d v="1899-12-30T13:06:00"/>
    <s v="Money Received"/>
    <x v="1"/>
    <n v="24"/>
    <s v="Person_128"/>
    <x v="18"/>
  </r>
  <r>
    <n v="1656"/>
    <d v="2026-07-02T00:00:00"/>
    <d v="1899-12-30T13:06:00"/>
    <s v="Person/Merchant Payment"/>
    <x v="0"/>
    <n v="24"/>
    <s v="Person_362"/>
    <x v="18"/>
  </r>
  <r>
    <n v="1657"/>
    <d v="2026-07-03T00:00:00"/>
    <d v="1899-12-30T13:07:00"/>
    <s v="Person/Merchant Payment"/>
    <x v="0"/>
    <n v="500"/>
    <s v="Person_371"/>
    <x v="18"/>
  </r>
  <r>
    <n v="1658"/>
    <d v="2026-07-03T00:00:00"/>
    <d v="1899-12-30T20:23:00"/>
    <s v="Person/Merchant Payment"/>
    <x v="0"/>
    <n v="61"/>
    <s v="Person_372"/>
    <x v="18"/>
  </r>
  <r>
    <n v="1659"/>
    <d v="2026-07-04T00:00:00"/>
    <d v="1899-12-30T06:26:00"/>
    <s v="Person/Merchant Payment"/>
    <x v="0"/>
    <n v="100"/>
    <s v="Person_373"/>
    <x v="18"/>
  </r>
  <r>
    <n v="1660"/>
    <d v="2026-07-04T00:00:00"/>
    <d v="1899-12-30T12:23:00"/>
    <s v="Money Received"/>
    <x v="1"/>
    <n v="4930"/>
    <s v="Person_156"/>
    <x v="18"/>
  </r>
  <r>
    <n v="1661"/>
    <d v="2026-07-04T00:00:00"/>
    <d v="1899-12-30T12:24:00"/>
    <s v="Money Received"/>
    <x v="1"/>
    <n v="3578"/>
    <s v="Person_156"/>
    <x v="18"/>
  </r>
  <r>
    <n v="1662"/>
    <d v="2026-07-04T00:00:00"/>
    <d v="1899-12-30T12:57:00"/>
    <s v="Money Received"/>
    <x v="1"/>
    <n v="1000"/>
    <s v="Person_128"/>
    <x v="18"/>
  </r>
  <r>
    <n v="1663"/>
    <d v="2026-07-04T00:00:00"/>
    <d v="1899-12-30T12:57:00"/>
    <s v="Money Received"/>
    <x v="1"/>
    <n v="1000"/>
    <s v="Person_128"/>
    <x v="18"/>
  </r>
  <r>
    <n v="1664"/>
    <d v="2026-07-04T00:00:00"/>
    <d v="1899-12-30T13:13:00"/>
    <s v="Person/Merchant Payment"/>
    <x v="0"/>
    <n v="1141"/>
    <s v="Person_6"/>
    <x v="18"/>
  </r>
  <r>
    <n v="1665"/>
    <d v="2026-07-04T00:00:00"/>
    <d v="1899-12-30T13:14:00"/>
    <s v="UPI Lite Top-up"/>
    <x v="0"/>
    <n v="1141"/>
    <s v="Person_4"/>
    <x v="18"/>
  </r>
  <r>
    <n v="1666"/>
    <d v="2026-07-04T00:00:00"/>
    <d v="1899-12-30T13:50:00"/>
    <s v="Person/Merchant Payment"/>
    <x v="0"/>
    <n v="197"/>
    <s v="Person_2"/>
    <x v="18"/>
  </r>
  <r>
    <n v="1667"/>
    <d v="2026-07-04T00:00:00"/>
    <d v="1899-12-30T13:51:00"/>
    <s v="Money Received"/>
    <x v="1"/>
    <n v="197"/>
    <s v="Person_2"/>
    <x v="18"/>
  </r>
  <r>
    <n v="1668"/>
    <d v="2026-07-04T00:00:00"/>
    <d v="1899-12-30T19:32:00"/>
    <s v="Money Received"/>
    <x v="1"/>
    <n v="500"/>
    <s v="Person_37"/>
    <x v="18"/>
  </r>
  <r>
    <n v="1669"/>
    <d v="2026-07-04T00:00:00"/>
    <d v="1899-12-30T19:33:00"/>
    <s v="Person/Merchant Payment"/>
    <x v="0"/>
    <n v="350"/>
    <s v="Person_193"/>
    <x v="18"/>
  </r>
  <r>
    <n v="1670"/>
    <d v="2026-07-05T00:00:00"/>
    <d v="1899-12-30T07:47:00"/>
    <s v="Person/Merchant Payment"/>
    <x v="0"/>
    <n v="1200"/>
    <s v="Person_374"/>
    <x v="18"/>
  </r>
  <r>
    <n v="1671"/>
    <d v="2026-07-05T00:00:00"/>
    <d v="1899-12-30T08:20:00"/>
    <s v="Person/Merchant Payment"/>
    <x v="0"/>
    <n v="300"/>
    <s v="Person_374"/>
    <x v="18"/>
  </r>
  <r>
    <n v="1672"/>
    <d v="2026-07-05T00:00:00"/>
    <d v="1899-12-30T12:51:00"/>
    <s v="Person/Merchant Payment"/>
    <x v="0"/>
    <n v="9320"/>
    <s v="Person_366"/>
    <x v="18"/>
  </r>
  <r>
    <n v="1673"/>
    <d v="2026-07-05T00:00:00"/>
    <d v="1899-12-30T22:21:00"/>
    <s v="Person/Merchant Payment"/>
    <x v="0"/>
    <n v="500"/>
    <s v="Person_331"/>
    <x v="18"/>
  </r>
  <r>
    <n v="1674"/>
    <d v="2026-07-06T00:00:00"/>
    <d v="1899-12-30T00:25:00"/>
    <s v="Person/Merchant Payment"/>
    <x v="0"/>
    <n v="100"/>
    <s v="Person_2"/>
    <x v="18"/>
  </r>
  <r>
    <n v="1675"/>
    <d v="2026-07-06T00:00:00"/>
    <d v="1899-12-30T09:10:00"/>
    <s v="Person/Merchant Payment"/>
    <x v="0"/>
    <n v="50"/>
    <s v="Person_45"/>
    <x v="18"/>
  </r>
  <r>
    <n v="1676"/>
    <d v="2026-07-06T00:00:00"/>
    <d v="1899-12-30T13:07:00"/>
    <s v="Person/Merchant Payment"/>
    <x v="0"/>
    <n v="20"/>
    <s v="Person_375"/>
    <x v="18"/>
  </r>
  <r>
    <n v="1677"/>
    <d v="2026-07-07T00:00:00"/>
    <d v="1899-12-30T15:51:00"/>
    <s v="Money Received"/>
    <x v="1"/>
    <n v="300"/>
    <s v="Person_376"/>
    <x v="18"/>
  </r>
  <r>
    <n v="1678"/>
    <d v="2026-07-07T00:00:00"/>
    <d v="1899-12-30T17:19:00"/>
    <s v="Money Received"/>
    <x v="1"/>
    <n v="3500"/>
    <s v="Person_377"/>
    <x v="18"/>
  </r>
  <r>
    <n v="1679"/>
    <d v="2026-07-07T00:00:00"/>
    <d v="1899-12-30T22:27:00"/>
    <s v="Money Received"/>
    <x v="1"/>
    <n v="240"/>
    <s v="Person_378"/>
    <x v="18"/>
  </r>
  <r>
    <n v="1680"/>
    <d v="2026-07-07T00:00:00"/>
    <d v="1899-12-30T23:04:00"/>
    <s v="Money Received"/>
    <x v="1"/>
    <n v="2500"/>
    <s v="Person_50"/>
    <x v="18"/>
  </r>
  <r>
    <n v="1681"/>
    <d v="2026-07-07T00:00:00"/>
    <d v="1899-12-30T23:09:00"/>
    <s v="Person/Merchant Payment"/>
    <x v="0"/>
    <n v="220"/>
    <s v="Person_50"/>
    <x v="18"/>
  </r>
  <r>
    <n v="1682"/>
    <d v="2026-07-07T00:00:00"/>
    <d v="1899-12-30T23:10:00"/>
    <s v="Person/Merchant Payment"/>
    <x v="0"/>
    <n v="2500"/>
    <s v="Person_6"/>
    <x v="18"/>
  </r>
  <r>
    <n v="1683"/>
    <d v="2026-07-07T00:00:00"/>
    <d v="1899-12-30T23:10:00"/>
    <s v="Person/Merchant Payment"/>
    <x v="0"/>
    <n v="6000"/>
    <s v="Person_128"/>
    <x v="18"/>
  </r>
  <r>
    <n v="1684"/>
    <d v="2026-07-08T00:00:00"/>
    <d v="1899-12-30T05:21:00"/>
    <s v="Person/Merchant Payment"/>
    <x v="0"/>
    <n v="500"/>
    <s v="Person_50"/>
    <x v="18"/>
  </r>
  <r>
    <n v="1685"/>
    <d v="2026-07-08T00:00:00"/>
    <d v="1899-12-30T11:13:00"/>
    <s v="Money Received"/>
    <x v="1"/>
    <n v="500"/>
    <s v="Person_128"/>
    <x v="18"/>
  </r>
  <r>
    <n v="1686"/>
    <d v="2026-07-08T00:00:00"/>
    <d v="1899-12-30T19:24:00"/>
    <s v="Person/Merchant Payment"/>
    <x v="0"/>
    <n v="20"/>
    <s v="Person_50"/>
    <x v="18"/>
  </r>
  <r>
    <n v="1687"/>
    <d v="2026-07-09T00:00:00"/>
    <d v="1899-12-30T00:25:00"/>
    <s v="UPI Lite Top-up"/>
    <x v="0"/>
    <n v="500"/>
    <s v="Person_4"/>
    <x v="18"/>
  </r>
  <r>
    <n v="1688"/>
    <d v="2026-07-09T00:00:00"/>
    <d v="1899-12-30T00:27:00"/>
    <s v="Person/Merchant Payment"/>
    <x v="0"/>
    <n v="965"/>
    <s v="Person_6"/>
    <x v="18"/>
  </r>
  <r>
    <n v="1689"/>
    <d v="2026-07-09T00:00:00"/>
    <d v="1899-12-30T21:53:00"/>
    <s v="UPI Lite Top-up"/>
    <x v="0"/>
    <n v="300"/>
    <s v="Person_4"/>
    <x v="18"/>
  </r>
  <r>
    <n v="1690"/>
    <d v="2026-07-09T00:00:00"/>
    <d v="1899-12-30T21:55:00"/>
    <s v="Money Received"/>
    <x v="1"/>
    <n v="500"/>
    <s v="Person_246"/>
    <x v="18"/>
  </r>
  <r>
    <n v="1691"/>
    <d v="2026-07-09T00:00:00"/>
    <d v="1899-12-30T21:56:00"/>
    <s v="Person/Merchant Payment"/>
    <x v="0"/>
    <n v="500"/>
    <s v="Person_246"/>
    <x v="18"/>
  </r>
  <r>
    <n v="1692"/>
    <d v="2026-07-10T00:00:00"/>
    <d v="1899-12-30T18:35:00"/>
    <s v="Person/Merchant Payment"/>
    <x v="0"/>
    <n v="118"/>
    <s v="Person_356"/>
    <x v="18"/>
  </r>
  <r>
    <n v="1693"/>
    <d v="2026-07-10T00:00:00"/>
    <d v="1899-12-30T21:18:00"/>
    <s v="Food &amp; Dining"/>
    <x v="0"/>
    <n v="200"/>
    <s v="Person_379"/>
    <x v="18"/>
  </r>
  <r>
    <n v="1694"/>
    <d v="2026-07-10T00:00:00"/>
    <d v="1899-12-30T21:44:00"/>
    <s v="Food &amp; Dining"/>
    <x v="0"/>
    <n v="90"/>
    <s v="Person_379"/>
    <x v="18"/>
  </r>
  <r>
    <n v="1695"/>
    <d v="2026-07-10T00:00:00"/>
    <d v="1899-12-30T22:03:00"/>
    <s v="Food &amp; Dining"/>
    <x v="0"/>
    <n v="45"/>
    <s v="Person_379"/>
    <x v="18"/>
  </r>
  <r>
    <n v="1696"/>
    <d v="2026-07-11T00:00:00"/>
    <d v="1899-12-30T14:27:00"/>
    <s v="Person/Merchant Payment"/>
    <x v="0"/>
    <n v="12"/>
    <s v="Person_380"/>
    <x v="18"/>
  </r>
  <r>
    <n v="1697"/>
    <d v="2026-07-11T00:00:00"/>
    <d v="1899-12-30T15:19:00"/>
    <s v="Person/Merchant Payment"/>
    <x v="0"/>
    <n v="100"/>
    <s v="Person_50"/>
    <x v="18"/>
  </r>
  <r>
    <n v="1698"/>
    <d v="2026-07-11T00:00:00"/>
    <d v="1899-12-30T15:33:00"/>
    <s v="Money Received"/>
    <x v="1"/>
    <n v="335"/>
    <s v="Person_11"/>
    <x v="18"/>
  </r>
  <r>
    <n v="1699"/>
    <d v="2026-07-12T00:00:00"/>
    <d v="1899-12-30T20:14:00"/>
    <s v="Food &amp; Dining"/>
    <x v="0"/>
    <n v="550"/>
    <s v="Person_379"/>
    <x v="18"/>
  </r>
  <r>
    <n v="1700"/>
    <d v="2026-07-12T00:00:00"/>
    <d v="1899-12-30T20:43:00"/>
    <s v="Money Received"/>
    <x v="1"/>
    <n v="1000"/>
    <s v="Person_88"/>
    <x v="18"/>
  </r>
  <r>
    <n v="1701"/>
    <d v="2026-07-12T00:00:00"/>
    <d v="1899-12-30T20:46:00"/>
    <s v="Food &amp; Dining"/>
    <x v="0"/>
    <n v="165"/>
    <s v="Person_379"/>
    <x v="18"/>
  </r>
  <r>
    <n v="1702"/>
    <d v="2026-07-12T00:00:00"/>
    <d v="1899-12-30T20:49:00"/>
    <s v="Person/Merchant Payment"/>
    <x v="0"/>
    <n v="1000"/>
    <s v="Person_128"/>
    <x v="18"/>
  </r>
  <r>
    <n v="1703"/>
    <d v="2026-07-12T00:00:00"/>
    <d v="1899-12-30T21:19:00"/>
    <s v="Person/Merchant Payment"/>
    <x v="0"/>
    <n v="480"/>
    <s v="Person_381"/>
    <x v="18"/>
  </r>
  <r>
    <n v="1704"/>
    <d v="2026-07-13T00:00:00"/>
    <d v="1899-12-30T12:52:00"/>
    <s v="Person/Merchant Payment"/>
    <x v="0"/>
    <n v="196"/>
    <s v="Person_38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78D87-6CF5-466F-AEC1-3626871DAD0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24" firstHeaderRow="1" firstDataRow="2" firstDataCol="1"/>
  <pivotFields count="8">
    <pivotField showAll="0"/>
    <pivotField numFmtId="14" showAll="0"/>
    <pivotField numFmtId="18" showAll="0"/>
    <pivotField showAll="0"/>
    <pivotField axis="axisCol" showAll="0">
      <items count="3">
        <item x="1"/>
        <item x="0"/>
        <item t="default"/>
      </items>
    </pivotField>
    <pivotField dataField="1" showAll="0"/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amount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B0B61-719D-4C08-BC72-9E3A16A52C37}" name="Transactions" displayName="Transactions" ref="A1:H1705" totalsRowShown="0">
  <autoFilter ref="A1:H1705" xr:uid="{768B0B61-719D-4C08-BC72-9E3A16A52C37}"/>
  <tableColumns count="8">
    <tableColumn id="1" xr3:uid="{E7D7016A-EF9B-4169-8651-82F10DA6A531}" name="id"/>
    <tableColumn id="2" xr3:uid="{C874F7AB-6F72-4016-ACD2-28DBEEA29464}" name="date" dataDxfId="1"/>
    <tableColumn id="3" xr3:uid="{210B60EF-2E27-4993-8D18-BE75249818C8}" name="time" dataDxfId="0"/>
    <tableColumn id="4" xr3:uid="{B229511B-E65E-4B7F-84C3-F9478ECBF3B1}" name="category"/>
    <tableColumn id="5" xr3:uid="{2B57F702-A317-43BF-8ACA-A2E3DD8AC960}" name="type"/>
    <tableColumn id="6" xr3:uid="{399179EA-9C8B-49D4-9AB5-242B66057C30}" name="amount"/>
    <tableColumn id="7" xr3:uid="{16CBE263-E07A-4964-AB57-C543401904FA}" name="counterparty"/>
    <tableColumn id="8" xr3:uid="{5AD67AB2-8571-4F3A-8055-28D0A24D0F14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2B92-CF8E-43E0-9F19-6FFB0483D23D}">
  <dimension ref="A3:D24"/>
  <sheetViews>
    <sheetView tabSelected="1" workbookViewId="0">
      <selection activeCell="C9" sqref="C9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4" width="11" bestFit="1" customWidth="1"/>
  </cols>
  <sheetData>
    <row r="3" spans="1:4" x14ac:dyDescent="0.3">
      <c r="A3" s="3" t="s">
        <v>441</v>
      </c>
      <c r="B3" s="3" t="s">
        <v>440</v>
      </c>
    </row>
    <row r="4" spans="1:4" x14ac:dyDescent="0.3">
      <c r="A4" s="3" t="s">
        <v>438</v>
      </c>
      <c r="B4" t="s">
        <v>23</v>
      </c>
      <c r="C4" t="s">
        <v>9</v>
      </c>
      <c r="D4" t="s">
        <v>439</v>
      </c>
    </row>
    <row r="5" spans="1:4" x14ac:dyDescent="0.3">
      <c r="A5" s="4" t="s">
        <v>11</v>
      </c>
      <c r="B5" s="5">
        <v>2878</v>
      </c>
      <c r="C5" s="5">
        <v>57355.96</v>
      </c>
      <c r="D5" s="5">
        <v>60233.96</v>
      </c>
    </row>
    <row r="6" spans="1:4" x14ac:dyDescent="0.3">
      <c r="A6" s="4" t="s">
        <v>48</v>
      </c>
      <c r="B6" s="5">
        <v>12164</v>
      </c>
      <c r="C6" s="5">
        <v>31714</v>
      </c>
      <c r="D6" s="5">
        <v>43878</v>
      </c>
    </row>
    <row r="7" spans="1:4" x14ac:dyDescent="0.3">
      <c r="A7" s="4" t="s">
        <v>54</v>
      </c>
      <c r="B7" s="5">
        <v>8179</v>
      </c>
      <c r="C7" s="5">
        <v>17878</v>
      </c>
      <c r="D7" s="5">
        <v>26057</v>
      </c>
    </row>
    <row r="8" spans="1:4" x14ac:dyDescent="0.3">
      <c r="A8" s="4" t="s">
        <v>66</v>
      </c>
      <c r="B8" s="5">
        <v>72562</v>
      </c>
      <c r="C8" s="5">
        <v>88212</v>
      </c>
      <c r="D8" s="5">
        <v>160774</v>
      </c>
    </row>
    <row r="9" spans="1:4" x14ac:dyDescent="0.3">
      <c r="A9" s="4" t="s">
        <v>96</v>
      </c>
      <c r="B9" s="5">
        <v>128479</v>
      </c>
      <c r="C9" s="5">
        <v>90970</v>
      </c>
      <c r="D9" s="5">
        <v>219449</v>
      </c>
    </row>
    <row r="10" spans="1:4" x14ac:dyDescent="0.3">
      <c r="A10" s="4" t="s">
        <v>116</v>
      </c>
      <c r="B10" s="5">
        <v>30684</v>
      </c>
      <c r="C10" s="5">
        <v>107486.86</v>
      </c>
      <c r="D10" s="5">
        <v>138170.85999999999</v>
      </c>
    </row>
    <row r="11" spans="1:4" x14ac:dyDescent="0.3">
      <c r="A11" s="4" t="s">
        <v>131</v>
      </c>
      <c r="B11" s="5">
        <v>26050</v>
      </c>
      <c r="C11" s="5">
        <v>63210</v>
      </c>
      <c r="D11" s="5">
        <v>89260</v>
      </c>
    </row>
    <row r="12" spans="1:4" x14ac:dyDescent="0.3">
      <c r="A12" s="4" t="s">
        <v>154</v>
      </c>
      <c r="B12" s="5">
        <v>176541</v>
      </c>
      <c r="C12" s="5">
        <v>231465.53999999998</v>
      </c>
      <c r="D12" s="5">
        <v>408006.54</v>
      </c>
    </row>
    <row r="13" spans="1:4" x14ac:dyDescent="0.3">
      <c r="A13" s="4" t="s">
        <v>182</v>
      </c>
      <c r="B13" s="5">
        <v>76907</v>
      </c>
      <c r="C13" s="5">
        <v>57782</v>
      </c>
      <c r="D13" s="5">
        <v>134689</v>
      </c>
    </row>
    <row r="14" spans="1:4" x14ac:dyDescent="0.3">
      <c r="A14" s="4" t="s">
        <v>200</v>
      </c>
      <c r="B14" s="5">
        <v>47320.44</v>
      </c>
      <c r="C14" s="5">
        <v>52025</v>
      </c>
      <c r="D14" s="5">
        <v>99345.44</v>
      </c>
    </row>
    <row r="15" spans="1:4" x14ac:dyDescent="0.3">
      <c r="A15" s="4" t="s">
        <v>222</v>
      </c>
      <c r="B15" s="5">
        <v>31019.269999999997</v>
      </c>
      <c r="C15" s="5">
        <v>33485.06</v>
      </c>
      <c r="D15" s="5">
        <v>64504.329999999994</v>
      </c>
    </row>
    <row r="16" spans="1:4" x14ac:dyDescent="0.3">
      <c r="A16" s="4" t="s">
        <v>234</v>
      </c>
      <c r="B16" s="5">
        <v>111172</v>
      </c>
      <c r="C16" s="5">
        <v>156796</v>
      </c>
      <c r="D16" s="5">
        <v>267968</v>
      </c>
    </row>
    <row r="17" spans="1:4" x14ac:dyDescent="0.3">
      <c r="A17" s="4" t="s">
        <v>262</v>
      </c>
      <c r="B17" s="5">
        <v>63820.4</v>
      </c>
      <c r="C17" s="5">
        <v>120852</v>
      </c>
      <c r="D17" s="5">
        <v>184672.4</v>
      </c>
    </row>
    <row r="18" spans="1:4" x14ac:dyDescent="0.3">
      <c r="A18" s="4" t="s">
        <v>285</v>
      </c>
      <c r="B18" s="5">
        <v>165363</v>
      </c>
      <c r="C18" s="5">
        <v>238736.06</v>
      </c>
      <c r="D18" s="5">
        <v>404099.06</v>
      </c>
    </row>
    <row r="19" spans="1:4" x14ac:dyDescent="0.3">
      <c r="A19" s="4" t="s">
        <v>311</v>
      </c>
      <c r="B19" s="5">
        <v>14153.8</v>
      </c>
      <c r="C19" s="5">
        <v>34699.160000000003</v>
      </c>
      <c r="D19" s="5">
        <v>48852.960000000006</v>
      </c>
    </row>
    <row r="20" spans="1:4" x14ac:dyDescent="0.3">
      <c r="A20" s="4" t="s">
        <v>333</v>
      </c>
      <c r="B20" s="5">
        <v>94797</v>
      </c>
      <c r="C20" s="5">
        <v>178696</v>
      </c>
      <c r="D20" s="5">
        <v>273493</v>
      </c>
    </row>
    <row r="21" spans="1:4" x14ac:dyDescent="0.3">
      <c r="A21" s="4" t="s">
        <v>374</v>
      </c>
      <c r="B21" s="5">
        <v>60778</v>
      </c>
      <c r="C21" s="5">
        <v>70641</v>
      </c>
      <c r="D21" s="5">
        <v>131419</v>
      </c>
    </row>
    <row r="22" spans="1:4" x14ac:dyDescent="0.3">
      <c r="A22" s="4" t="s">
        <v>392</v>
      </c>
      <c r="B22" s="5">
        <v>71045</v>
      </c>
      <c r="C22" s="5">
        <v>122822</v>
      </c>
      <c r="D22" s="5">
        <v>193867</v>
      </c>
    </row>
    <row r="23" spans="1:4" x14ac:dyDescent="0.3">
      <c r="A23" s="4" t="s">
        <v>416</v>
      </c>
      <c r="B23" s="5">
        <v>20104</v>
      </c>
      <c r="C23" s="5">
        <v>29491</v>
      </c>
      <c r="D23" s="5">
        <v>49595</v>
      </c>
    </row>
    <row r="24" spans="1:4" x14ac:dyDescent="0.3">
      <c r="A24" s="4" t="s">
        <v>439</v>
      </c>
      <c r="B24" s="5">
        <v>1214016.9100000001</v>
      </c>
      <c r="C24" s="5">
        <v>1784317.64</v>
      </c>
      <c r="D24" s="5">
        <v>2998334.55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2F60-5D00-4CFB-9EF9-10588508EBEE}">
  <dimension ref="A1:H1705"/>
  <sheetViews>
    <sheetView topLeftCell="A2" workbookViewId="0">
      <selection activeCell="C8" sqref="C8"/>
    </sheetView>
  </sheetViews>
  <sheetFormatPr defaultRowHeight="14.4" x14ac:dyDescent="0.3"/>
  <cols>
    <col min="2" max="2" width="10.33203125" bestFit="1" customWidth="1"/>
    <col min="4" max="4" width="10" customWidth="1"/>
    <col min="6" max="6" width="9.21875" customWidth="1"/>
    <col min="7" max="7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45658</v>
      </c>
      <c r="C2" s="2">
        <v>0.33541666666666664</v>
      </c>
      <c r="D2" t="s">
        <v>8</v>
      </c>
      <c r="E2" t="s">
        <v>9</v>
      </c>
      <c r="F2">
        <v>180</v>
      </c>
      <c r="G2" t="s">
        <v>10</v>
      </c>
      <c r="H2" t="s">
        <v>11</v>
      </c>
    </row>
    <row r="3" spans="1:8" x14ac:dyDescent="0.3">
      <c r="A3">
        <v>2</v>
      </c>
      <c r="B3" s="1">
        <v>45658</v>
      </c>
      <c r="C3" s="2">
        <v>0.33541666666666664</v>
      </c>
      <c r="D3" t="s">
        <v>8</v>
      </c>
      <c r="E3" t="s">
        <v>9</v>
      </c>
      <c r="F3">
        <v>180</v>
      </c>
      <c r="G3" t="s">
        <v>12</v>
      </c>
      <c r="H3" t="s">
        <v>11</v>
      </c>
    </row>
    <row r="4" spans="1:8" x14ac:dyDescent="0.3">
      <c r="A4">
        <v>3</v>
      </c>
      <c r="B4" s="1">
        <v>45658</v>
      </c>
      <c r="C4" s="2">
        <v>0.33611111111111114</v>
      </c>
      <c r="D4" t="s">
        <v>8</v>
      </c>
      <c r="E4" t="s">
        <v>9</v>
      </c>
      <c r="F4">
        <v>175</v>
      </c>
      <c r="G4" t="s">
        <v>13</v>
      </c>
      <c r="H4" t="s">
        <v>11</v>
      </c>
    </row>
    <row r="5" spans="1:8" x14ac:dyDescent="0.3">
      <c r="A5">
        <v>4</v>
      </c>
      <c r="B5" s="1">
        <v>45658</v>
      </c>
      <c r="C5" s="2">
        <v>0.39583333333333331</v>
      </c>
      <c r="D5" t="s">
        <v>14</v>
      </c>
      <c r="E5" t="s">
        <v>9</v>
      </c>
      <c r="F5">
        <v>189</v>
      </c>
      <c r="G5" t="s">
        <v>15</v>
      </c>
      <c r="H5" t="s">
        <v>11</v>
      </c>
    </row>
    <row r="6" spans="1:8" x14ac:dyDescent="0.3">
      <c r="A6">
        <v>5</v>
      </c>
      <c r="B6" s="1">
        <v>45658</v>
      </c>
      <c r="C6" s="2">
        <v>0.40625</v>
      </c>
      <c r="D6" t="s">
        <v>8</v>
      </c>
      <c r="E6" t="s">
        <v>9</v>
      </c>
      <c r="F6">
        <v>20</v>
      </c>
      <c r="G6" t="s">
        <v>12</v>
      </c>
      <c r="H6" t="s">
        <v>11</v>
      </c>
    </row>
    <row r="7" spans="1:8" x14ac:dyDescent="0.3">
      <c r="A7">
        <v>6</v>
      </c>
      <c r="B7" s="1">
        <v>45658</v>
      </c>
      <c r="C7" s="2">
        <v>0.40694444444444444</v>
      </c>
      <c r="D7" t="s">
        <v>16</v>
      </c>
      <c r="E7" t="s">
        <v>9</v>
      </c>
      <c r="F7">
        <v>200</v>
      </c>
      <c r="G7" t="s">
        <v>17</v>
      </c>
      <c r="H7" t="s">
        <v>11</v>
      </c>
    </row>
    <row r="8" spans="1:8" x14ac:dyDescent="0.3">
      <c r="A8">
        <v>7</v>
      </c>
      <c r="B8" s="1">
        <v>45658</v>
      </c>
      <c r="C8" s="2">
        <v>0.40763888888888888</v>
      </c>
      <c r="D8" t="s">
        <v>18</v>
      </c>
      <c r="E8" t="s">
        <v>9</v>
      </c>
      <c r="F8">
        <v>20000</v>
      </c>
      <c r="G8" t="s">
        <v>19</v>
      </c>
      <c r="H8" t="s">
        <v>11</v>
      </c>
    </row>
    <row r="9" spans="1:8" x14ac:dyDescent="0.3">
      <c r="A9">
        <v>8</v>
      </c>
      <c r="B9" s="1">
        <v>45658</v>
      </c>
      <c r="C9" s="2">
        <v>0.67638888888888893</v>
      </c>
      <c r="D9" t="s">
        <v>8</v>
      </c>
      <c r="E9" t="s">
        <v>9</v>
      </c>
      <c r="F9">
        <v>2536</v>
      </c>
      <c r="G9" t="s">
        <v>20</v>
      </c>
      <c r="H9" t="s">
        <v>11</v>
      </c>
    </row>
    <row r="10" spans="1:8" x14ac:dyDescent="0.3">
      <c r="A10">
        <v>9</v>
      </c>
      <c r="B10" s="1">
        <v>45658</v>
      </c>
      <c r="C10" s="2">
        <v>0.67638888888888893</v>
      </c>
      <c r="D10" t="s">
        <v>8</v>
      </c>
      <c r="E10" t="s">
        <v>9</v>
      </c>
      <c r="F10">
        <v>2536</v>
      </c>
      <c r="G10" t="s">
        <v>21</v>
      </c>
      <c r="H10" t="s">
        <v>11</v>
      </c>
    </row>
    <row r="11" spans="1:8" x14ac:dyDescent="0.3">
      <c r="A11">
        <v>10</v>
      </c>
      <c r="B11" s="1">
        <v>45659</v>
      </c>
      <c r="C11" s="2">
        <v>0.39305555555555555</v>
      </c>
      <c r="D11" t="s">
        <v>18</v>
      </c>
      <c r="E11" t="s">
        <v>9</v>
      </c>
      <c r="F11">
        <v>22464</v>
      </c>
      <c r="G11" t="s">
        <v>19</v>
      </c>
      <c r="H11" t="s">
        <v>11</v>
      </c>
    </row>
    <row r="12" spans="1:8" x14ac:dyDescent="0.3">
      <c r="A12">
        <v>11</v>
      </c>
      <c r="B12" s="1">
        <v>45660</v>
      </c>
      <c r="C12" s="2">
        <v>0.75555555555555554</v>
      </c>
      <c r="D12" t="s">
        <v>22</v>
      </c>
      <c r="E12" t="s">
        <v>23</v>
      </c>
      <c r="F12">
        <v>20</v>
      </c>
      <c r="G12" t="s">
        <v>13</v>
      </c>
      <c r="H12" t="s">
        <v>11</v>
      </c>
    </row>
    <row r="13" spans="1:8" x14ac:dyDescent="0.3">
      <c r="A13">
        <v>12</v>
      </c>
      <c r="B13" s="1">
        <v>45660</v>
      </c>
      <c r="C13" s="2">
        <v>0.79652777777777772</v>
      </c>
      <c r="D13" t="s">
        <v>8</v>
      </c>
      <c r="E13" t="s">
        <v>9</v>
      </c>
      <c r="F13">
        <v>20</v>
      </c>
      <c r="G13" t="s">
        <v>10</v>
      </c>
      <c r="H13" t="s">
        <v>11</v>
      </c>
    </row>
    <row r="14" spans="1:8" x14ac:dyDescent="0.3">
      <c r="A14">
        <v>13</v>
      </c>
      <c r="B14" s="1">
        <v>45660</v>
      </c>
      <c r="C14" s="2">
        <v>0.79722222222222228</v>
      </c>
      <c r="D14" t="s">
        <v>8</v>
      </c>
      <c r="E14" t="s">
        <v>9</v>
      </c>
      <c r="F14">
        <v>20</v>
      </c>
      <c r="G14" t="s">
        <v>10</v>
      </c>
      <c r="H14" t="s">
        <v>11</v>
      </c>
    </row>
    <row r="15" spans="1:8" x14ac:dyDescent="0.3">
      <c r="A15">
        <v>14</v>
      </c>
      <c r="B15" s="1">
        <v>45661</v>
      </c>
      <c r="C15" s="2">
        <v>0.45347222222222222</v>
      </c>
      <c r="D15" t="s">
        <v>8</v>
      </c>
      <c r="E15" t="s">
        <v>9</v>
      </c>
      <c r="F15">
        <v>140</v>
      </c>
      <c r="G15" t="s">
        <v>24</v>
      </c>
      <c r="H15" t="s">
        <v>11</v>
      </c>
    </row>
    <row r="16" spans="1:8" x14ac:dyDescent="0.3">
      <c r="A16">
        <v>15</v>
      </c>
      <c r="B16" s="1">
        <v>45661</v>
      </c>
      <c r="C16" s="2">
        <v>0.76041666666666663</v>
      </c>
      <c r="D16" t="s">
        <v>8</v>
      </c>
      <c r="E16" t="s">
        <v>9</v>
      </c>
      <c r="F16">
        <v>260</v>
      </c>
      <c r="G16" t="s">
        <v>25</v>
      </c>
      <c r="H16" t="s">
        <v>11</v>
      </c>
    </row>
    <row r="17" spans="1:8" x14ac:dyDescent="0.3">
      <c r="A17">
        <v>16</v>
      </c>
      <c r="B17" s="1">
        <v>45661</v>
      </c>
      <c r="C17" s="2">
        <v>0.7895833333333333</v>
      </c>
      <c r="D17" t="s">
        <v>8</v>
      </c>
      <c r="E17" t="s">
        <v>9</v>
      </c>
      <c r="F17">
        <v>136</v>
      </c>
      <c r="G17" t="s">
        <v>21</v>
      </c>
      <c r="H17" t="s">
        <v>11</v>
      </c>
    </row>
    <row r="18" spans="1:8" x14ac:dyDescent="0.3">
      <c r="A18">
        <v>17</v>
      </c>
      <c r="B18" s="1">
        <v>45662</v>
      </c>
      <c r="C18" s="2">
        <v>0.76111111111111107</v>
      </c>
      <c r="D18" t="s">
        <v>22</v>
      </c>
      <c r="E18" t="s">
        <v>23</v>
      </c>
      <c r="F18">
        <v>20</v>
      </c>
      <c r="G18" t="s">
        <v>26</v>
      </c>
      <c r="H18" t="s">
        <v>11</v>
      </c>
    </row>
    <row r="19" spans="1:8" x14ac:dyDescent="0.3">
      <c r="A19">
        <v>18</v>
      </c>
      <c r="B19" s="1">
        <v>45663</v>
      </c>
      <c r="C19" s="2">
        <v>0.62777777777777777</v>
      </c>
      <c r="D19" t="s">
        <v>22</v>
      </c>
      <c r="E19" t="s">
        <v>23</v>
      </c>
      <c r="F19">
        <v>25</v>
      </c>
      <c r="G19" t="s">
        <v>10</v>
      </c>
      <c r="H19" t="s">
        <v>11</v>
      </c>
    </row>
    <row r="20" spans="1:8" x14ac:dyDescent="0.3">
      <c r="A20">
        <v>19</v>
      </c>
      <c r="B20" s="1">
        <v>45663</v>
      </c>
      <c r="C20" s="2">
        <v>0.63541666666666663</v>
      </c>
      <c r="D20" t="s">
        <v>8</v>
      </c>
      <c r="E20" t="s">
        <v>9</v>
      </c>
      <c r="F20">
        <v>45</v>
      </c>
      <c r="G20" t="s">
        <v>21</v>
      </c>
      <c r="H20" t="s">
        <v>11</v>
      </c>
    </row>
    <row r="21" spans="1:8" x14ac:dyDescent="0.3">
      <c r="A21">
        <v>20</v>
      </c>
      <c r="B21" s="1">
        <v>45663</v>
      </c>
      <c r="C21" s="2">
        <v>0.74444444444444446</v>
      </c>
      <c r="D21" t="s">
        <v>27</v>
      </c>
      <c r="E21" t="s">
        <v>9</v>
      </c>
      <c r="F21">
        <v>602</v>
      </c>
      <c r="G21" t="s">
        <v>28</v>
      </c>
      <c r="H21" t="s">
        <v>11</v>
      </c>
    </row>
    <row r="22" spans="1:8" x14ac:dyDescent="0.3">
      <c r="A22">
        <v>21</v>
      </c>
      <c r="B22" s="1">
        <v>45664</v>
      </c>
      <c r="C22" s="2">
        <v>0.76249999999999996</v>
      </c>
      <c r="D22" t="s">
        <v>8</v>
      </c>
      <c r="E22" t="s">
        <v>9</v>
      </c>
      <c r="F22">
        <v>40</v>
      </c>
      <c r="G22" t="s">
        <v>29</v>
      </c>
      <c r="H22" t="s">
        <v>11</v>
      </c>
    </row>
    <row r="23" spans="1:8" x14ac:dyDescent="0.3">
      <c r="A23">
        <v>22</v>
      </c>
      <c r="B23" s="1">
        <v>45664</v>
      </c>
      <c r="C23" s="2">
        <v>0.77222222222222225</v>
      </c>
      <c r="D23" t="s">
        <v>22</v>
      </c>
      <c r="E23" t="s">
        <v>23</v>
      </c>
      <c r="F23">
        <v>100</v>
      </c>
      <c r="G23" t="s">
        <v>30</v>
      </c>
      <c r="H23" t="s">
        <v>11</v>
      </c>
    </row>
    <row r="24" spans="1:8" x14ac:dyDescent="0.3">
      <c r="A24">
        <v>23</v>
      </c>
      <c r="B24" s="1">
        <v>45664</v>
      </c>
      <c r="C24" s="2">
        <v>0.95625000000000004</v>
      </c>
      <c r="D24" t="s">
        <v>8</v>
      </c>
      <c r="E24" t="s">
        <v>9</v>
      </c>
      <c r="F24">
        <v>20</v>
      </c>
      <c r="G24" t="s">
        <v>21</v>
      </c>
      <c r="H24" t="s">
        <v>11</v>
      </c>
    </row>
    <row r="25" spans="1:8" x14ac:dyDescent="0.3">
      <c r="A25">
        <v>24</v>
      </c>
      <c r="B25" s="1">
        <v>45664</v>
      </c>
      <c r="C25" s="2">
        <v>0.95625000000000004</v>
      </c>
      <c r="D25" t="s">
        <v>16</v>
      </c>
      <c r="E25" t="s">
        <v>9</v>
      </c>
      <c r="F25">
        <v>40</v>
      </c>
      <c r="G25" t="s">
        <v>17</v>
      </c>
      <c r="H25" t="s">
        <v>11</v>
      </c>
    </row>
    <row r="26" spans="1:8" x14ac:dyDescent="0.3">
      <c r="A26">
        <v>25</v>
      </c>
      <c r="B26" s="1">
        <v>45665</v>
      </c>
      <c r="C26" s="2">
        <v>0.74236111111111114</v>
      </c>
      <c r="D26" t="s">
        <v>22</v>
      </c>
      <c r="E26" t="s">
        <v>23</v>
      </c>
      <c r="F26">
        <v>100</v>
      </c>
      <c r="G26" t="s">
        <v>12</v>
      </c>
      <c r="H26" t="s">
        <v>11</v>
      </c>
    </row>
    <row r="27" spans="1:8" x14ac:dyDescent="0.3">
      <c r="A27">
        <v>26</v>
      </c>
      <c r="B27" s="1">
        <v>45665</v>
      </c>
      <c r="C27" s="2">
        <v>0.74236111111111114</v>
      </c>
      <c r="D27" t="s">
        <v>8</v>
      </c>
      <c r="E27" t="s">
        <v>9</v>
      </c>
      <c r="F27">
        <v>40</v>
      </c>
      <c r="G27" t="s">
        <v>31</v>
      </c>
      <c r="H27" t="s">
        <v>11</v>
      </c>
    </row>
    <row r="28" spans="1:8" x14ac:dyDescent="0.3">
      <c r="A28">
        <v>27</v>
      </c>
      <c r="B28" s="1">
        <v>45665</v>
      </c>
      <c r="C28" s="2">
        <v>0.74375000000000002</v>
      </c>
      <c r="D28" t="s">
        <v>8</v>
      </c>
      <c r="E28" t="s">
        <v>9</v>
      </c>
      <c r="F28">
        <v>80</v>
      </c>
      <c r="G28" t="s">
        <v>25</v>
      </c>
      <c r="H28" t="s">
        <v>11</v>
      </c>
    </row>
    <row r="29" spans="1:8" x14ac:dyDescent="0.3">
      <c r="A29">
        <v>28</v>
      </c>
      <c r="B29" s="1">
        <v>45665</v>
      </c>
      <c r="C29" s="2">
        <v>0.77569444444444446</v>
      </c>
      <c r="D29" t="s">
        <v>8</v>
      </c>
      <c r="E29" t="s">
        <v>9</v>
      </c>
      <c r="F29">
        <v>500</v>
      </c>
      <c r="G29" t="s">
        <v>32</v>
      </c>
      <c r="H29" t="s">
        <v>11</v>
      </c>
    </row>
    <row r="30" spans="1:8" x14ac:dyDescent="0.3">
      <c r="A30">
        <v>29</v>
      </c>
      <c r="B30" s="1">
        <v>45666</v>
      </c>
      <c r="C30" s="2">
        <v>0.36805555555555558</v>
      </c>
      <c r="D30" t="s">
        <v>22</v>
      </c>
      <c r="E30" t="s">
        <v>23</v>
      </c>
      <c r="F30">
        <v>181</v>
      </c>
      <c r="G30" t="s">
        <v>30</v>
      </c>
      <c r="H30" t="s">
        <v>11</v>
      </c>
    </row>
    <row r="31" spans="1:8" x14ac:dyDescent="0.3">
      <c r="A31">
        <v>30</v>
      </c>
      <c r="B31" s="1">
        <v>45667</v>
      </c>
      <c r="C31" s="2">
        <v>0.9145833333333333</v>
      </c>
      <c r="D31" t="s">
        <v>22</v>
      </c>
      <c r="E31" t="s">
        <v>23</v>
      </c>
      <c r="F31">
        <v>45</v>
      </c>
      <c r="G31" t="s">
        <v>33</v>
      </c>
      <c r="H31" t="s">
        <v>11</v>
      </c>
    </row>
    <row r="32" spans="1:8" x14ac:dyDescent="0.3">
      <c r="A32">
        <v>31</v>
      </c>
      <c r="B32" s="1">
        <v>45668</v>
      </c>
      <c r="C32" s="2">
        <v>0.18611111111111112</v>
      </c>
      <c r="D32" t="s">
        <v>8</v>
      </c>
      <c r="E32" t="s">
        <v>9</v>
      </c>
      <c r="F32">
        <v>60</v>
      </c>
      <c r="G32" t="s">
        <v>21</v>
      </c>
      <c r="H32" t="s">
        <v>11</v>
      </c>
    </row>
    <row r="33" spans="1:8" x14ac:dyDescent="0.3">
      <c r="A33">
        <v>32</v>
      </c>
      <c r="B33" s="1">
        <v>45668</v>
      </c>
      <c r="C33" s="2">
        <v>0.46805555555555556</v>
      </c>
      <c r="D33" t="s">
        <v>8</v>
      </c>
      <c r="E33" t="s">
        <v>9</v>
      </c>
      <c r="F33">
        <v>20</v>
      </c>
      <c r="G33" t="s">
        <v>34</v>
      </c>
      <c r="H33" t="s">
        <v>11</v>
      </c>
    </row>
    <row r="34" spans="1:8" x14ac:dyDescent="0.3">
      <c r="A34">
        <v>33</v>
      </c>
      <c r="B34" s="1">
        <v>45668</v>
      </c>
      <c r="C34" s="2">
        <v>0.5444444444444444</v>
      </c>
      <c r="D34" t="s">
        <v>16</v>
      </c>
      <c r="E34" t="s">
        <v>9</v>
      </c>
      <c r="F34">
        <v>200</v>
      </c>
      <c r="G34" t="s">
        <v>17</v>
      </c>
      <c r="H34" t="s">
        <v>11</v>
      </c>
    </row>
    <row r="35" spans="1:8" x14ac:dyDescent="0.3">
      <c r="A35">
        <v>34</v>
      </c>
      <c r="B35" s="1">
        <v>45668</v>
      </c>
      <c r="C35" s="2">
        <v>0.5444444444444444</v>
      </c>
      <c r="D35" t="s">
        <v>16</v>
      </c>
      <c r="E35" t="s">
        <v>9</v>
      </c>
      <c r="F35">
        <v>100</v>
      </c>
      <c r="G35" t="s">
        <v>17</v>
      </c>
      <c r="H35" t="s">
        <v>11</v>
      </c>
    </row>
    <row r="36" spans="1:8" x14ac:dyDescent="0.3">
      <c r="A36">
        <v>35</v>
      </c>
      <c r="B36" s="1">
        <v>45668</v>
      </c>
      <c r="C36" s="2">
        <v>0.88611111111111107</v>
      </c>
      <c r="D36" t="s">
        <v>8</v>
      </c>
      <c r="E36" t="s">
        <v>9</v>
      </c>
      <c r="F36">
        <v>1</v>
      </c>
      <c r="G36" t="s">
        <v>12</v>
      </c>
      <c r="H36" t="s">
        <v>11</v>
      </c>
    </row>
    <row r="37" spans="1:8" x14ac:dyDescent="0.3">
      <c r="A37">
        <v>36</v>
      </c>
      <c r="B37" s="1">
        <v>45668</v>
      </c>
      <c r="C37" s="2">
        <v>0.88611111111111107</v>
      </c>
      <c r="D37" t="s">
        <v>16</v>
      </c>
      <c r="E37" t="s">
        <v>9</v>
      </c>
      <c r="F37">
        <v>1</v>
      </c>
      <c r="G37" t="s">
        <v>17</v>
      </c>
      <c r="H37" t="s">
        <v>11</v>
      </c>
    </row>
    <row r="38" spans="1:8" x14ac:dyDescent="0.3">
      <c r="A38">
        <v>37</v>
      </c>
      <c r="B38" s="1">
        <v>45670</v>
      </c>
      <c r="C38" s="2">
        <v>0.74861111111111112</v>
      </c>
      <c r="D38" t="s">
        <v>8</v>
      </c>
      <c r="E38" t="s">
        <v>9</v>
      </c>
      <c r="F38">
        <v>100</v>
      </c>
      <c r="G38" t="s">
        <v>26</v>
      </c>
      <c r="H38" t="s">
        <v>11</v>
      </c>
    </row>
    <row r="39" spans="1:8" x14ac:dyDescent="0.3">
      <c r="A39">
        <v>38</v>
      </c>
      <c r="B39" s="1">
        <v>45671</v>
      </c>
      <c r="C39" s="2">
        <v>0.80138888888888893</v>
      </c>
      <c r="D39" t="s">
        <v>22</v>
      </c>
      <c r="E39" t="s">
        <v>23</v>
      </c>
      <c r="F39">
        <v>25</v>
      </c>
      <c r="G39" t="s">
        <v>35</v>
      </c>
      <c r="H39" t="s">
        <v>11</v>
      </c>
    </row>
    <row r="40" spans="1:8" x14ac:dyDescent="0.3">
      <c r="A40">
        <v>39</v>
      </c>
      <c r="B40" s="1">
        <v>45672</v>
      </c>
      <c r="C40" s="2">
        <v>0.84652777777777777</v>
      </c>
      <c r="D40" t="s">
        <v>22</v>
      </c>
      <c r="E40" t="s">
        <v>23</v>
      </c>
      <c r="F40">
        <v>1</v>
      </c>
      <c r="G40" t="s">
        <v>30</v>
      </c>
      <c r="H40" t="s">
        <v>11</v>
      </c>
    </row>
    <row r="41" spans="1:8" x14ac:dyDescent="0.3">
      <c r="A41">
        <v>40</v>
      </c>
      <c r="B41" s="1">
        <v>45672</v>
      </c>
      <c r="C41" s="2">
        <v>0.84652777777777777</v>
      </c>
      <c r="D41" t="s">
        <v>22</v>
      </c>
      <c r="E41" t="s">
        <v>23</v>
      </c>
      <c r="F41">
        <v>5</v>
      </c>
      <c r="G41" t="s">
        <v>30</v>
      </c>
      <c r="H41" t="s">
        <v>11</v>
      </c>
    </row>
    <row r="42" spans="1:8" x14ac:dyDescent="0.3">
      <c r="A42">
        <v>41</v>
      </c>
      <c r="B42" s="1">
        <v>45672</v>
      </c>
      <c r="C42" s="2">
        <v>0.84791666666666665</v>
      </c>
      <c r="D42" t="s">
        <v>14</v>
      </c>
      <c r="E42" t="s">
        <v>9</v>
      </c>
      <c r="F42">
        <v>19</v>
      </c>
      <c r="G42" t="s">
        <v>36</v>
      </c>
      <c r="H42" t="s">
        <v>11</v>
      </c>
    </row>
    <row r="43" spans="1:8" x14ac:dyDescent="0.3">
      <c r="A43">
        <v>42</v>
      </c>
      <c r="B43" s="1">
        <v>45672</v>
      </c>
      <c r="C43" s="2">
        <v>0.84861111111111109</v>
      </c>
      <c r="D43" t="s">
        <v>16</v>
      </c>
      <c r="E43" t="s">
        <v>9</v>
      </c>
      <c r="F43">
        <v>10</v>
      </c>
      <c r="G43" t="s">
        <v>17</v>
      </c>
      <c r="H43" t="s">
        <v>11</v>
      </c>
    </row>
    <row r="44" spans="1:8" x14ac:dyDescent="0.3">
      <c r="A44">
        <v>43</v>
      </c>
      <c r="B44" s="1">
        <v>45672</v>
      </c>
      <c r="C44" s="2">
        <v>0.85</v>
      </c>
      <c r="D44" t="s">
        <v>22</v>
      </c>
      <c r="E44" t="s">
        <v>23</v>
      </c>
      <c r="F44">
        <v>12</v>
      </c>
      <c r="G44" t="s">
        <v>10</v>
      </c>
      <c r="H44" t="s">
        <v>11</v>
      </c>
    </row>
    <row r="45" spans="1:8" x14ac:dyDescent="0.3">
      <c r="A45">
        <v>44</v>
      </c>
      <c r="B45" s="1">
        <v>45672</v>
      </c>
      <c r="C45" s="2">
        <v>0.85069444444444442</v>
      </c>
      <c r="D45" t="s">
        <v>16</v>
      </c>
      <c r="E45" t="s">
        <v>9</v>
      </c>
      <c r="F45">
        <v>38</v>
      </c>
      <c r="G45" t="s">
        <v>17</v>
      </c>
      <c r="H45" t="s">
        <v>11</v>
      </c>
    </row>
    <row r="46" spans="1:8" x14ac:dyDescent="0.3">
      <c r="A46">
        <v>45</v>
      </c>
      <c r="B46" s="1">
        <v>45674</v>
      </c>
      <c r="C46" s="2">
        <v>0.86250000000000004</v>
      </c>
      <c r="D46" t="s">
        <v>22</v>
      </c>
      <c r="E46" t="s">
        <v>23</v>
      </c>
      <c r="F46">
        <v>11</v>
      </c>
      <c r="G46" t="s">
        <v>33</v>
      </c>
      <c r="H46" t="s">
        <v>11</v>
      </c>
    </row>
    <row r="47" spans="1:8" x14ac:dyDescent="0.3">
      <c r="A47">
        <v>46</v>
      </c>
      <c r="B47" s="1">
        <v>45675</v>
      </c>
      <c r="C47" s="2">
        <v>0.60069444444444442</v>
      </c>
      <c r="D47" t="s">
        <v>22</v>
      </c>
      <c r="E47" t="s">
        <v>23</v>
      </c>
      <c r="F47">
        <v>13</v>
      </c>
      <c r="G47" t="s">
        <v>35</v>
      </c>
      <c r="H47" t="s">
        <v>11</v>
      </c>
    </row>
    <row r="48" spans="1:8" x14ac:dyDescent="0.3">
      <c r="A48">
        <v>47</v>
      </c>
      <c r="B48" s="1">
        <v>45675</v>
      </c>
      <c r="C48" s="2">
        <v>0.60416666666666663</v>
      </c>
      <c r="D48" t="s">
        <v>22</v>
      </c>
      <c r="E48" t="s">
        <v>23</v>
      </c>
      <c r="F48">
        <v>1000</v>
      </c>
      <c r="G48" t="s">
        <v>30</v>
      </c>
      <c r="H48" t="s">
        <v>11</v>
      </c>
    </row>
    <row r="49" spans="1:8" x14ac:dyDescent="0.3">
      <c r="A49">
        <v>48</v>
      </c>
      <c r="B49" s="1">
        <v>45675</v>
      </c>
      <c r="C49" s="2">
        <v>0.83333333333333337</v>
      </c>
      <c r="D49" t="s">
        <v>22</v>
      </c>
      <c r="E49" t="s">
        <v>23</v>
      </c>
      <c r="F49">
        <v>60</v>
      </c>
      <c r="G49" t="s">
        <v>10</v>
      </c>
      <c r="H49" t="s">
        <v>11</v>
      </c>
    </row>
    <row r="50" spans="1:8" x14ac:dyDescent="0.3">
      <c r="A50">
        <v>49</v>
      </c>
      <c r="B50" s="1">
        <v>45676</v>
      </c>
      <c r="C50" s="2">
        <v>0.58125000000000004</v>
      </c>
      <c r="D50" t="s">
        <v>8</v>
      </c>
      <c r="E50" t="s">
        <v>9</v>
      </c>
      <c r="F50">
        <v>500</v>
      </c>
      <c r="G50" t="s">
        <v>30</v>
      </c>
      <c r="H50" t="s">
        <v>11</v>
      </c>
    </row>
    <row r="51" spans="1:8" x14ac:dyDescent="0.3">
      <c r="A51">
        <v>50</v>
      </c>
      <c r="B51" s="1">
        <v>45676</v>
      </c>
      <c r="C51" s="2">
        <v>0.5854166666666667</v>
      </c>
      <c r="D51" t="s">
        <v>22</v>
      </c>
      <c r="E51" t="s">
        <v>23</v>
      </c>
      <c r="F51">
        <v>500</v>
      </c>
      <c r="G51" t="s">
        <v>30</v>
      </c>
      <c r="H51" t="s">
        <v>11</v>
      </c>
    </row>
    <row r="52" spans="1:8" x14ac:dyDescent="0.3">
      <c r="A52">
        <v>51</v>
      </c>
      <c r="B52" s="1">
        <v>45676</v>
      </c>
      <c r="C52" s="2">
        <v>0.75</v>
      </c>
      <c r="D52" t="s">
        <v>8</v>
      </c>
      <c r="E52" t="s">
        <v>9</v>
      </c>
      <c r="F52">
        <v>400</v>
      </c>
      <c r="G52" t="s">
        <v>21</v>
      </c>
      <c r="H52" t="s">
        <v>11</v>
      </c>
    </row>
    <row r="53" spans="1:8" x14ac:dyDescent="0.3">
      <c r="A53">
        <v>52</v>
      </c>
      <c r="B53" s="1">
        <v>45676</v>
      </c>
      <c r="C53" s="2">
        <v>0.75902777777777775</v>
      </c>
      <c r="D53" t="s">
        <v>16</v>
      </c>
      <c r="E53" t="s">
        <v>9</v>
      </c>
      <c r="F53">
        <v>50</v>
      </c>
      <c r="G53" t="s">
        <v>17</v>
      </c>
      <c r="H53" t="s">
        <v>11</v>
      </c>
    </row>
    <row r="54" spans="1:8" x14ac:dyDescent="0.3">
      <c r="A54">
        <v>53</v>
      </c>
      <c r="B54" s="1">
        <v>45677</v>
      </c>
      <c r="C54" s="2">
        <v>0.41041666666666665</v>
      </c>
      <c r="D54" t="s">
        <v>22</v>
      </c>
      <c r="E54" t="s">
        <v>23</v>
      </c>
      <c r="F54">
        <v>80</v>
      </c>
      <c r="G54" t="s">
        <v>12</v>
      </c>
      <c r="H54" t="s">
        <v>11</v>
      </c>
    </row>
    <row r="55" spans="1:8" x14ac:dyDescent="0.3">
      <c r="A55">
        <v>54</v>
      </c>
      <c r="B55" s="1">
        <v>45677</v>
      </c>
      <c r="C55" s="2">
        <v>0.42569444444444443</v>
      </c>
      <c r="D55" t="s">
        <v>8</v>
      </c>
      <c r="E55" t="s">
        <v>9</v>
      </c>
      <c r="F55">
        <v>42</v>
      </c>
      <c r="G55" t="s">
        <v>37</v>
      </c>
      <c r="H55" t="s">
        <v>11</v>
      </c>
    </row>
    <row r="56" spans="1:8" x14ac:dyDescent="0.3">
      <c r="A56">
        <v>55</v>
      </c>
      <c r="B56" s="1">
        <v>45677</v>
      </c>
      <c r="C56" s="2">
        <v>0.43472222222222223</v>
      </c>
      <c r="D56" t="s">
        <v>38</v>
      </c>
      <c r="E56" t="s">
        <v>9</v>
      </c>
      <c r="F56">
        <v>40</v>
      </c>
      <c r="G56" t="s">
        <v>39</v>
      </c>
      <c r="H56" t="s">
        <v>11</v>
      </c>
    </row>
    <row r="57" spans="1:8" x14ac:dyDescent="0.3">
      <c r="A57">
        <v>56</v>
      </c>
      <c r="B57" s="1">
        <v>45677</v>
      </c>
      <c r="C57" s="2">
        <v>0.44791666666666669</v>
      </c>
      <c r="D57" t="s">
        <v>8</v>
      </c>
      <c r="E57" t="s">
        <v>9</v>
      </c>
      <c r="F57">
        <v>100</v>
      </c>
      <c r="G57" t="s">
        <v>40</v>
      </c>
      <c r="H57" t="s">
        <v>11</v>
      </c>
    </row>
    <row r="58" spans="1:8" x14ac:dyDescent="0.3">
      <c r="A58">
        <v>57</v>
      </c>
      <c r="B58" s="1">
        <v>45681</v>
      </c>
      <c r="C58" s="2">
        <v>0.76875000000000004</v>
      </c>
      <c r="D58" t="s">
        <v>16</v>
      </c>
      <c r="E58" t="s">
        <v>9</v>
      </c>
      <c r="F58">
        <v>21</v>
      </c>
      <c r="G58" t="s">
        <v>17</v>
      </c>
      <c r="H58" t="s">
        <v>11</v>
      </c>
    </row>
    <row r="59" spans="1:8" x14ac:dyDescent="0.3">
      <c r="A59">
        <v>58</v>
      </c>
      <c r="B59" s="1">
        <v>45681</v>
      </c>
      <c r="C59" s="2">
        <v>0.8</v>
      </c>
      <c r="D59" t="s">
        <v>22</v>
      </c>
      <c r="E59" t="s">
        <v>23</v>
      </c>
      <c r="F59">
        <v>500</v>
      </c>
      <c r="G59" t="s">
        <v>30</v>
      </c>
      <c r="H59" t="s">
        <v>11</v>
      </c>
    </row>
    <row r="60" spans="1:8" x14ac:dyDescent="0.3">
      <c r="A60">
        <v>59</v>
      </c>
      <c r="B60" s="1">
        <v>45682</v>
      </c>
      <c r="C60" s="2">
        <v>0.35347222222222224</v>
      </c>
      <c r="D60" t="s">
        <v>8</v>
      </c>
      <c r="E60" t="s">
        <v>9</v>
      </c>
      <c r="F60">
        <v>200</v>
      </c>
      <c r="G60" t="s">
        <v>21</v>
      </c>
      <c r="H60" t="s">
        <v>11</v>
      </c>
    </row>
    <row r="61" spans="1:8" x14ac:dyDescent="0.3">
      <c r="A61">
        <v>60</v>
      </c>
      <c r="B61" s="1">
        <v>45682</v>
      </c>
      <c r="C61" s="2">
        <v>0.35625000000000001</v>
      </c>
      <c r="D61" t="s">
        <v>8</v>
      </c>
      <c r="E61" t="s">
        <v>9</v>
      </c>
      <c r="F61">
        <v>200</v>
      </c>
      <c r="G61" t="s">
        <v>20</v>
      </c>
      <c r="H61" t="s">
        <v>11</v>
      </c>
    </row>
    <row r="62" spans="1:8" x14ac:dyDescent="0.3">
      <c r="A62">
        <v>61</v>
      </c>
      <c r="B62" s="1">
        <v>45682</v>
      </c>
      <c r="C62" s="2">
        <v>0.35625000000000001</v>
      </c>
      <c r="D62" t="s">
        <v>16</v>
      </c>
      <c r="E62" t="s">
        <v>9</v>
      </c>
      <c r="F62">
        <v>200</v>
      </c>
      <c r="G62" t="s">
        <v>17</v>
      </c>
      <c r="H62" t="s">
        <v>11</v>
      </c>
    </row>
    <row r="63" spans="1:8" x14ac:dyDescent="0.3">
      <c r="A63">
        <v>62</v>
      </c>
      <c r="B63" s="1">
        <v>45683</v>
      </c>
      <c r="C63" s="2">
        <v>0.47013888888888888</v>
      </c>
      <c r="D63" t="s">
        <v>8</v>
      </c>
      <c r="E63" t="s">
        <v>9</v>
      </c>
      <c r="F63">
        <v>20</v>
      </c>
      <c r="G63" t="s">
        <v>41</v>
      </c>
      <c r="H63" t="s">
        <v>11</v>
      </c>
    </row>
    <row r="64" spans="1:8" x14ac:dyDescent="0.3">
      <c r="A64">
        <v>63</v>
      </c>
      <c r="B64" s="1">
        <v>45683</v>
      </c>
      <c r="C64" s="2">
        <v>0.47361111111111109</v>
      </c>
      <c r="D64" t="s">
        <v>22</v>
      </c>
      <c r="E64" t="s">
        <v>23</v>
      </c>
      <c r="F64">
        <v>10</v>
      </c>
      <c r="G64" t="s">
        <v>13</v>
      </c>
      <c r="H64" t="s">
        <v>11</v>
      </c>
    </row>
    <row r="65" spans="1:8" x14ac:dyDescent="0.3">
      <c r="A65">
        <v>64</v>
      </c>
      <c r="B65" s="1">
        <v>45683</v>
      </c>
      <c r="C65" s="2">
        <v>0.47638888888888886</v>
      </c>
      <c r="D65" t="s">
        <v>16</v>
      </c>
      <c r="E65" t="s">
        <v>9</v>
      </c>
      <c r="F65">
        <v>20</v>
      </c>
      <c r="G65" t="s">
        <v>17</v>
      </c>
      <c r="H65" t="s">
        <v>11</v>
      </c>
    </row>
    <row r="66" spans="1:8" x14ac:dyDescent="0.3">
      <c r="A66">
        <v>65</v>
      </c>
      <c r="B66" s="1">
        <v>45683</v>
      </c>
      <c r="C66" s="2">
        <v>0.68958333333333333</v>
      </c>
      <c r="D66" t="s">
        <v>22</v>
      </c>
      <c r="E66" t="s">
        <v>23</v>
      </c>
      <c r="F66">
        <v>20</v>
      </c>
      <c r="G66" t="s">
        <v>42</v>
      </c>
      <c r="H66" t="s">
        <v>11</v>
      </c>
    </row>
    <row r="67" spans="1:8" x14ac:dyDescent="0.3">
      <c r="A67">
        <v>66</v>
      </c>
      <c r="B67" s="1">
        <v>45683</v>
      </c>
      <c r="C67" s="2">
        <v>0.73819444444444449</v>
      </c>
      <c r="D67" t="s">
        <v>22</v>
      </c>
      <c r="E67" t="s">
        <v>23</v>
      </c>
      <c r="F67">
        <v>20</v>
      </c>
      <c r="G67" t="s">
        <v>13</v>
      </c>
      <c r="H67" t="s">
        <v>11</v>
      </c>
    </row>
    <row r="68" spans="1:8" x14ac:dyDescent="0.3">
      <c r="A68">
        <v>67</v>
      </c>
      <c r="B68" s="1">
        <v>45685</v>
      </c>
      <c r="C68" s="2">
        <v>0.82222222222222219</v>
      </c>
      <c r="D68" t="s">
        <v>8</v>
      </c>
      <c r="E68" t="s">
        <v>9</v>
      </c>
      <c r="F68">
        <v>500</v>
      </c>
      <c r="G68" t="s">
        <v>43</v>
      </c>
      <c r="H68" t="s">
        <v>11</v>
      </c>
    </row>
    <row r="69" spans="1:8" x14ac:dyDescent="0.3">
      <c r="A69">
        <v>68</v>
      </c>
      <c r="B69" s="1">
        <v>45686</v>
      </c>
      <c r="C69" s="2">
        <v>0.63402777777777775</v>
      </c>
      <c r="D69" t="s">
        <v>8</v>
      </c>
      <c r="E69" t="s">
        <v>9</v>
      </c>
      <c r="F69">
        <v>300</v>
      </c>
      <c r="G69" t="s">
        <v>21</v>
      </c>
      <c r="H69" t="s">
        <v>11</v>
      </c>
    </row>
    <row r="70" spans="1:8" x14ac:dyDescent="0.3">
      <c r="A70">
        <v>69</v>
      </c>
      <c r="B70" s="1">
        <v>45686</v>
      </c>
      <c r="C70" s="2">
        <v>0.63472222222222219</v>
      </c>
      <c r="D70" t="s">
        <v>8</v>
      </c>
      <c r="E70" t="s">
        <v>9</v>
      </c>
      <c r="F70">
        <v>300</v>
      </c>
      <c r="G70" t="s">
        <v>20</v>
      </c>
      <c r="H70" t="s">
        <v>11</v>
      </c>
    </row>
    <row r="71" spans="1:8" x14ac:dyDescent="0.3">
      <c r="A71">
        <v>70</v>
      </c>
      <c r="B71" s="1">
        <v>45686</v>
      </c>
      <c r="C71" s="2">
        <v>0.64583333333333337</v>
      </c>
      <c r="D71" t="s">
        <v>8</v>
      </c>
      <c r="E71" t="s">
        <v>9</v>
      </c>
      <c r="F71">
        <v>2678</v>
      </c>
      <c r="G71" t="s">
        <v>44</v>
      </c>
      <c r="H71" t="s">
        <v>11</v>
      </c>
    </row>
    <row r="72" spans="1:8" x14ac:dyDescent="0.3">
      <c r="A72">
        <v>71</v>
      </c>
      <c r="B72" s="1">
        <v>45686</v>
      </c>
      <c r="C72" s="2">
        <v>0.64722222222222225</v>
      </c>
      <c r="D72" t="s">
        <v>8</v>
      </c>
      <c r="E72" t="s">
        <v>9</v>
      </c>
      <c r="F72">
        <v>29</v>
      </c>
      <c r="G72" t="s">
        <v>44</v>
      </c>
      <c r="H72" t="s">
        <v>11</v>
      </c>
    </row>
    <row r="73" spans="1:8" x14ac:dyDescent="0.3">
      <c r="A73">
        <v>72</v>
      </c>
      <c r="B73" s="1">
        <v>45686</v>
      </c>
      <c r="C73" s="2">
        <v>0.65208333333333335</v>
      </c>
      <c r="D73" t="s">
        <v>8</v>
      </c>
      <c r="E73" t="s">
        <v>9</v>
      </c>
      <c r="F73">
        <v>83.96</v>
      </c>
      <c r="G73" t="s">
        <v>45</v>
      </c>
      <c r="H73" t="s">
        <v>11</v>
      </c>
    </row>
    <row r="74" spans="1:8" x14ac:dyDescent="0.3">
      <c r="A74">
        <v>73</v>
      </c>
      <c r="B74" s="1">
        <v>45686</v>
      </c>
      <c r="C74" s="2">
        <v>0.70902777777777781</v>
      </c>
      <c r="D74" t="s">
        <v>8</v>
      </c>
      <c r="E74" t="s">
        <v>9</v>
      </c>
      <c r="F74">
        <v>700</v>
      </c>
      <c r="G74" t="s">
        <v>46</v>
      </c>
      <c r="H74" t="s">
        <v>11</v>
      </c>
    </row>
    <row r="75" spans="1:8" x14ac:dyDescent="0.3">
      <c r="A75">
        <v>74</v>
      </c>
      <c r="B75" s="1">
        <v>45686</v>
      </c>
      <c r="C75" s="2">
        <v>0.75069444444444444</v>
      </c>
      <c r="D75" t="s">
        <v>22</v>
      </c>
      <c r="E75" t="s">
        <v>23</v>
      </c>
      <c r="F75">
        <v>130</v>
      </c>
      <c r="G75" t="s">
        <v>13</v>
      </c>
      <c r="H75" t="s">
        <v>11</v>
      </c>
    </row>
    <row r="76" spans="1:8" x14ac:dyDescent="0.3">
      <c r="A76">
        <v>75</v>
      </c>
      <c r="B76" s="1">
        <v>45692</v>
      </c>
      <c r="C76" s="2">
        <v>0.89166666666666672</v>
      </c>
      <c r="D76" t="s">
        <v>8</v>
      </c>
      <c r="E76" t="s">
        <v>9</v>
      </c>
      <c r="F76">
        <v>1000</v>
      </c>
      <c r="G76" t="s">
        <v>47</v>
      </c>
      <c r="H76" t="s">
        <v>48</v>
      </c>
    </row>
    <row r="77" spans="1:8" x14ac:dyDescent="0.3">
      <c r="A77">
        <v>76</v>
      </c>
      <c r="B77" s="1">
        <v>45694</v>
      </c>
      <c r="C77" s="2">
        <v>0.6069444444444444</v>
      </c>
      <c r="D77" t="s">
        <v>22</v>
      </c>
      <c r="E77" t="s">
        <v>23</v>
      </c>
      <c r="F77">
        <v>1000</v>
      </c>
      <c r="G77" t="s">
        <v>47</v>
      </c>
      <c r="H77" t="s">
        <v>48</v>
      </c>
    </row>
    <row r="78" spans="1:8" x14ac:dyDescent="0.3">
      <c r="A78">
        <v>77</v>
      </c>
      <c r="B78" s="1">
        <v>45694</v>
      </c>
      <c r="C78" s="2">
        <v>0.65208333333333335</v>
      </c>
      <c r="D78" t="s">
        <v>8</v>
      </c>
      <c r="E78" t="s">
        <v>9</v>
      </c>
      <c r="F78">
        <v>1000</v>
      </c>
      <c r="G78" t="s">
        <v>21</v>
      </c>
      <c r="H78" t="s">
        <v>48</v>
      </c>
    </row>
    <row r="79" spans="1:8" x14ac:dyDescent="0.3">
      <c r="A79">
        <v>78</v>
      </c>
      <c r="B79" s="1">
        <v>45694</v>
      </c>
      <c r="C79" s="2">
        <v>0.90138888888888891</v>
      </c>
      <c r="D79" t="s">
        <v>8</v>
      </c>
      <c r="E79" t="s">
        <v>9</v>
      </c>
      <c r="F79">
        <v>1000</v>
      </c>
      <c r="G79" t="s">
        <v>29</v>
      </c>
      <c r="H79" t="s">
        <v>48</v>
      </c>
    </row>
    <row r="80" spans="1:8" x14ac:dyDescent="0.3">
      <c r="A80">
        <v>79</v>
      </c>
      <c r="B80" s="1">
        <v>45697</v>
      </c>
      <c r="C80" s="2">
        <v>0.41666666666666669</v>
      </c>
      <c r="D80" t="s">
        <v>8</v>
      </c>
      <c r="E80" t="s">
        <v>9</v>
      </c>
      <c r="F80">
        <v>20000</v>
      </c>
      <c r="G80" t="s">
        <v>30</v>
      </c>
      <c r="H80" t="s">
        <v>48</v>
      </c>
    </row>
    <row r="81" spans="1:8" x14ac:dyDescent="0.3">
      <c r="A81">
        <v>80</v>
      </c>
      <c r="B81" s="1">
        <v>45697</v>
      </c>
      <c r="C81" s="2">
        <v>0.41875000000000001</v>
      </c>
      <c r="D81" t="s">
        <v>22</v>
      </c>
      <c r="E81" t="s">
        <v>23</v>
      </c>
      <c r="F81">
        <v>1</v>
      </c>
      <c r="G81" t="s">
        <v>30</v>
      </c>
      <c r="H81" t="s">
        <v>48</v>
      </c>
    </row>
    <row r="82" spans="1:8" x14ac:dyDescent="0.3">
      <c r="A82">
        <v>81</v>
      </c>
      <c r="B82" s="1">
        <v>45697</v>
      </c>
      <c r="C82" s="2">
        <v>0.41875000000000001</v>
      </c>
      <c r="D82" t="s">
        <v>8</v>
      </c>
      <c r="E82" t="s">
        <v>9</v>
      </c>
      <c r="F82">
        <v>1</v>
      </c>
      <c r="G82" t="s">
        <v>21</v>
      </c>
      <c r="H82" t="s">
        <v>48</v>
      </c>
    </row>
    <row r="83" spans="1:8" x14ac:dyDescent="0.3">
      <c r="A83">
        <v>82</v>
      </c>
      <c r="B83" s="1">
        <v>45697</v>
      </c>
      <c r="C83" s="2">
        <v>0.43333333333333335</v>
      </c>
      <c r="D83" t="s">
        <v>49</v>
      </c>
      <c r="E83" t="s">
        <v>9</v>
      </c>
      <c r="F83">
        <v>139</v>
      </c>
      <c r="G83" t="s">
        <v>50</v>
      </c>
      <c r="H83" t="s">
        <v>48</v>
      </c>
    </row>
    <row r="84" spans="1:8" x14ac:dyDescent="0.3">
      <c r="A84">
        <v>83</v>
      </c>
      <c r="B84" s="1">
        <v>45697</v>
      </c>
      <c r="C84" s="2">
        <v>0.43333333333333335</v>
      </c>
      <c r="D84" t="s">
        <v>22</v>
      </c>
      <c r="E84" t="s">
        <v>23</v>
      </c>
      <c r="F84">
        <v>90</v>
      </c>
      <c r="G84" t="s">
        <v>30</v>
      </c>
      <c r="H84" t="s">
        <v>48</v>
      </c>
    </row>
    <row r="85" spans="1:8" x14ac:dyDescent="0.3">
      <c r="A85">
        <v>84</v>
      </c>
      <c r="B85" s="1">
        <v>45697</v>
      </c>
      <c r="C85" s="2">
        <v>0.56597222222222221</v>
      </c>
      <c r="D85" t="s">
        <v>8</v>
      </c>
      <c r="E85" t="s">
        <v>9</v>
      </c>
      <c r="F85">
        <v>700</v>
      </c>
      <c r="G85" t="s">
        <v>20</v>
      </c>
      <c r="H85" t="s">
        <v>48</v>
      </c>
    </row>
    <row r="86" spans="1:8" x14ac:dyDescent="0.3">
      <c r="A86">
        <v>85</v>
      </c>
      <c r="B86" s="1">
        <v>45702</v>
      </c>
      <c r="C86" s="2">
        <v>0.89027777777777772</v>
      </c>
      <c r="D86" t="s">
        <v>22</v>
      </c>
      <c r="E86" t="s">
        <v>23</v>
      </c>
      <c r="F86">
        <v>40</v>
      </c>
      <c r="G86" t="s">
        <v>30</v>
      </c>
      <c r="H86" t="s">
        <v>48</v>
      </c>
    </row>
    <row r="87" spans="1:8" x14ac:dyDescent="0.3">
      <c r="A87">
        <v>86</v>
      </c>
      <c r="B87" s="1">
        <v>45702</v>
      </c>
      <c r="C87" s="2">
        <v>0.89097222222222228</v>
      </c>
      <c r="D87" t="s">
        <v>49</v>
      </c>
      <c r="E87" t="s">
        <v>9</v>
      </c>
      <c r="F87">
        <v>114</v>
      </c>
      <c r="G87" t="s">
        <v>50</v>
      </c>
      <c r="H87" t="s">
        <v>48</v>
      </c>
    </row>
    <row r="88" spans="1:8" x14ac:dyDescent="0.3">
      <c r="A88">
        <v>87</v>
      </c>
      <c r="B88" s="1">
        <v>45702</v>
      </c>
      <c r="C88" s="2">
        <v>0.92638888888888893</v>
      </c>
      <c r="D88" t="s">
        <v>14</v>
      </c>
      <c r="E88" t="s">
        <v>9</v>
      </c>
      <c r="F88">
        <v>19</v>
      </c>
      <c r="G88" t="s">
        <v>36</v>
      </c>
      <c r="H88" t="s">
        <v>48</v>
      </c>
    </row>
    <row r="89" spans="1:8" x14ac:dyDescent="0.3">
      <c r="A89">
        <v>88</v>
      </c>
      <c r="B89" s="1">
        <v>45703</v>
      </c>
      <c r="C89" s="2">
        <v>0.45555555555555555</v>
      </c>
      <c r="D89" t="s">
        <v>8</v>
      </c>
      <c r="E89" t="s">
        <v>9</v>
      </c>
      <c r="F89">
        <v>100</v>
      </c>
      <c r="G89" t="s">
        <v>20</v>
      </c>
      <c r="H89" t="s">
        <v>48</v>
      </c>
    </row>
    <row r="90" spans="1:8" x14ac:dyDescent="0.3">
      <c r="A90">
        <v>89</v>
      </c>
      <c r="B90" s="1">
        <v>45703</v>
      </c>
      <c r="C90" s="2">
        <v>0.45555555555555555</v>
      </c>
      <c r="D90" t="s">
        <v>8</v>
      </c>
      <c r="E90" t="s">
        <v>9</v>
      </c>
      <c r="F90">
        <v>100</v>
      </c>
      <c r="G90" t="s">
        <v>51</v>
      </c>
      <c r="H90" t="s">
        <v>48</v>
      </c>
    </row>
    <row r="91" spans="1:8" x14ac:dyDescent="0.3">
      <c r="A91">
        <v>90</v>
      </c>
      <c r="B91" s="1">
        <v>45705</v>
      </c>
      <c r="C91" s="2">
        <v>0.47569444444444442</v>
      </c>
      <c r="D91" t="s">
        <v>22</v>
      </c>
      <c r="E91" t="s">
        <v>23</v>
      </c>
      <c r="F91">
        <v>5000</v>
      </c>
      <c r="G91" t="s">
        <v>52</v>
      </c>
      <c r="H91" t="s">
        <v>48</v>
      </c>
    </row>
    <row r="92" spans="1:8" x14ac:dyDescent="0.3">
      <c r="A92">
        <v>91</v>
      </c>
      <c r="B92" s="1">
        <v>45707</v>
      </c>
      <c r="C92" s="2">
        <v>0.57361111111111107</v>
      </c>
      <c r="D92" t="s">
        <v>22</v>
      </c>
      <c r="E92" t="s">
        <v>23</v>
      </c>
      <c r="F92">
        <v>80</v>
      </c>
      <c r="G92" t="s">
        <v>30</v>
      </c>
      <c r="H92" t="s">
        <v>48</v>
      </c>
    </row>
    <row r="93" spans="1:8" x14ac:dyDescent="0.3">
      <c r="A93">
        <v>92</v>
      </c>
      <c r="B93" s="1">
        <v>45707</v>
      </c>
      <c r="C93" s="2">
        <v>0.57430555555555551</v>
      </c>
      <c r="D93" t="s">
        <v>16</v>
      </c>
      <c r="E93" t="s">
        <v>9</v>
      </c>
      <c r="F93">
        <v>80</v>
      </c>
      <c r="G93" t="s">
        <v>17</v>
      </c>
      <c r="H93" t="s">
        <v>48</v>
      </c>
    </row>
    <row r="94" spans="1:8" x14ac:dyDescent="0.3">
      <c r="A94">
        <v>93</v>
      </c>
      <c r="B94" s="1">
        <v>45707</v>
      </c>
      <c r="C94" s="2">
        <v>0.67291666666666672</v>
      </c>
      <c r="D94" t="s">
        <v>22</v>
      </c>
      <c r="E94" t="s">
        <v>23</v>
      </c>
      <c r="F94">
        <v>300</v>
      </c>
      <c r="G94" t="s">
        <v>30</v>
      </c>
      <c r="H94" t="s">
        <v>48</v>
      </c>
    </row>
    <row r="95" spans="1:8" x14ac:dyDescent="0.3">
      <c r="A95">
        <v>94</v>
      </c>
      <c r="B95" s="1">
        <v>45707</v>
      </c>
      <c r="C95" s="2">
        <v>0.92222222222222228</v>
      </c>
      <c r="D95" t="s">
        <v>16</v>
      </c>
      <c r="E95" t="s">
        <v>9</v>
      </c>
      <c r="F95">
        <v>317</v>
      </c>
      <c r="G95" t="s">
        <v>17</v>
      </c>
      <c r="H95" t="s">
        <v>48</v>
      </c>
    </row>
    <row r="96" spans="1:8" x14ac:dyDescent="0.3">
      <c r="A96">
        <v>95</v>
      </c>
      <c r="B96" s="1">
        <v>45707</v>
      </c>
      <c r="C96" s="2">
        <v>0.92222222222222228</v>
      </c>
      <c r="D96" t="s">
        <v>8</v>
      </c>
      <c r="E96" t="s">
        <v>9</v>
      </c>
      <c r="F96">
        <v>81</v>
      </c>
      <c r="G96" t="s">
        <v>20</v>
      </c>
      <c r="H96" t="s">
        <v>48</v>
      </c>
    </row>
    <row r="97" spans="1:8" x14ac:dyDescent="0.3">
      <c r="A97">
        <v>96</v>
      </c>
      <c r="B97" s="1">
        <v>45707</v>
      </c>
      <c r="C97" s="2">
        <v>0.92291666666666672</v>
      </c>
      <c r="D97" t="s">
        <v>16</v>
      </c>
      <c r="E97" t="s">
        <v>9</v>
      </c>
      <c r="F97">
        <v>81</v>
      </c>
      <c r="G97" t="s">
        <v>17</v>
      </c>
      <c r="H97" t="s">
        <v>48</v>
      </c>
    </row>
    <row r="98" spans="1:8" x14ac:dyDescent="0.3">
      <c r="A98">
        <v>97</v>
      </c>
      <c r="B98" s="1">
        <v>45708</v>
      </c>
      <c r="C98" s="2">
        <v>0.50347222222222221</v>
      </c>
      <c r="D98" t="s">
        <v>49</v>
      </c>
      <c r="E98" t="s">
        <v>9</v>
      </c>
      <c r="F98">
        <v>129</v>
      </c>
      <c r="G98" t="s">
        <v>50</v>
      </c>
      <c r="H98" t="s">
        <v>48</v>
      </c>
    </row>
    <row r="99" spans="1:8" x14ac:dyDescent="0.3">
      <c r="A99">
        <v>98</v>
      </c>
      <c r="B99" s="1">
        <v>45708</v>
      </c>
      <c r="C99" s="2">
        <v>0.60763888888888884</v>
      </c>
      <c r="D99" t="s">
        <v>8</v>
      </c>
      <c r="E99" t="s">
        <v>9</v>
      </c>
      <c r="F99">
        <v>293</v>
      </c>
      <c r="G99" t="s">
        <v>30</v>
      </c>
      <c r="H99" t="s">
        <v>48</v>
      </c>
    </row>
    <row r="100" spans="1:8" x14ac:dyDescent="0.3">
      <c r="A100">
        <v>99</v>
      </c>
      <c r="B100" s="1">
        <v>45708</v>
      </c>
      <c r="C100" s="2">
        <v>0.60833333333333328</v>
      </c>
      <c r="D100" t="s">
        <v>22</v>
      </c>
      <c r="E100" t="s">
        <v>23</v>
      </c>
      <c r="F100">
        <v>293</v>
      </c>
      <c r="G100" t="s">
        <v>30</v>
      </c>
      <c r="H100" t="s">
        <v>48</v>
      </c>
    </row>
    <row r="101" spans="1:8" x14ac:dyDescent="0.3">
      <c r="A101">
        <v>100</v>
      </c>
      <c r="B101" s="1">
        <v>45709</v>
      </c>
      <c r="C101" s="2">
        <v>0.60763888888888884</v>
      </c>
      <c r="D101" t="s">
        <v>22</v>
      </c>
      <c r="E101" t="s">
        <v>23</v>
      </c>
      <c r="F101">
        <v>10</v>
      </c>
      <c r="G101" t="s">
        <v>30</v>
      </c>
      <c r="H101" t="s">
        <v>48</v>
      </c>
    </row>
    <row r="102" spans="1:8" x14ac:dyDescent="0.3">
      <c r="A102">
        <v>101</v>
      </c>
      <c r="B102" s="1">
        <v>45709</v>
      </c>
      <c r="C102" s="2">
        <v>0.60763888888888884</v>
      </c>
      <c r="D102" t="s">
        <v>16</v>
      </c>
      <c r="E102" t="s">
        <v>9</v>
      </c>
      <c r="F102">
        <v>10</v>
      </c>
      <c r="G102" t="s">
        <v>17</v>
      </c>
      <c r="H102" t="s">
        <v>48</v>
      </c>
    </row>
    <row r="103" spans="1:8" x14ac:dyDescent="0.3">
      <c r="A103">
        <v>102</v>
      </c>
      <c r="B103" s="1">
        <v>45712</v>
      </c>
      <c r="C103" s="2">
        <v>0.40416666666666667</v>
      </c>
      <c r="D103" t="s">
        <v>8</v>
      </c>
      <c r="E103" t="s">
        <v>9</v>
      </c>
      <c r="F103">
        <v>5000</v>
      </c>
      <c r="G103" t="s">
        <v>30</v>
      </c>
      <c r="H103" t="s">
        <v>48</v>
      </c>
    </row>
    <row r="104" spans="1:8" x14ac:dyDescent="0.3">
      <c r="A104">
        <v>103</v>
      </c>
      <c r="B104" s="1">
        <v>45712</v>
      </c>
      <c r="C104" s="2">
        <v>0.41944444444444445</v>
      </c>
      <c r="D104" t="s">
        <v>22</v>
      </c>
      <c r="E104" t="s">
        <v>23</v>
      </c>
      <c r="F104">
        <v>5000</v>
      </c>
      <c r="G104" t="s">
        <v>30</v>
      </c>
      <c r="H104" t="s">
        <v>48</v>
      </c>
    </row>
    <row r="105" spans="1:8" x14ac:dyDescent="0.3">
      <c r="A105">
        <v>104</v>
      </c>
      <c r="B105" s="1">
        <v>45712</v>
      </c>
      <c r="C105" s="2">
        <v>0.57916666666666672</v>
      </c>
      <c r="D105" t="s">
        <v>22</v>
      </c>
      <c r="E105" t="s">
        <v>23</v>
      </c>
      <c r="F105">
        <v>300</v>
      </c>
      <c r="G105" t="s">
        <v>30</v>
      </c>
      <c r="H105" t="s">
        <v>48</v>
      </c>
    </row>
    <row r="106" spans="1:8" x14ac:dyDescent="0.3">
      <c r="A106">
        <v>105</v>
      </c>
      <c r="B106" s="1">
        <v>45712</v>
      </c>
      <c r="C106" s="2">
        <v>0.58819444444444446</v>
      </c>
      <c r="D106" t="s">
        <v>8</v>
      </c>
      <c r="E106" t="s">
        <v>9</v>
      </c>
      <c r="F106">
        <v>167</v>
      </c>
      <c r="G106" t="s">
        <v>53</v>
      </c>
      <c r="H106" t="s">
        <v>48</v>
      </c>
    </row>
    <row r="107" spans="1:8" x14ac:dyDescent="0.3">
      <c r="A107">
        <v>106</v>
      </c>
      <c r="B107" s="1">
        <v>45715</v>
      </c>
      <c r="C107" s="2">
        <v>0.70833333333333337</v>
      </c>
      <c r="D107" t="s">
        <v>22</v>
      </c>
      <c r="E107" t="s">
        <v>23</v>
      </c>
      <c r="F107">
        <v>50</v>
      </c>
      <c r="G107" t="s">
        <v>30</v>
      </c>
      <c r="H107" t="s">
        <v>48</v>
      </c>
    </row>
    <row r="108" spans="1:8" x14ac:dyDescent="0.3">
      <c r="A108">
        <v>107</v>
      </c>
      <c r="B108" s="1">
        <v>45716</v>
      </c>
      <c r="C108" s="2">
        <v>0.58819444444444446</v>
      </c>
      <c r="D108" t="s">
        <v>8</v>
      </c>
      <c r="E108" t="s">
        <v>9</v>
      </c>
      <c r="F108">
        <v>1000</v>
      </c>
      <c r="G108" t="s">
        <v>21</v>
      </c>
      <c r="H108" t="s">
        <v>48</v>
      </c>
    </row>
    <row r="109" spans="1:8" x14ac:dyDescent="0.3">
      <c r="A109">
        <v>108</v>
      </c>
      <c r="B109" s="1">
        <v>45716</v>
      </c>
      <c r="C109" s="2">
        <v>0.85416666666666663</v>
      </c>
      <c r="D109" t="s">
        <v>16</v>
      </c>
      <c r="E109" t="s">
        <v>9</v>
      </c>
      <c r="F109">
        <v>183</v>
      </c>
      <c r="G109" t="s">
        <v>17</v>
      </c>
      <c r="H109" t="s">
        <v>48</v>
      </c>
    </row>
    <row r="110" spans="1:8" x14ac:dyDescent="0.3">
      <c r="A110">
        <v>109</v>
      </c>
      <c r="B110" s="1">
        <v>45716</v>
      </c>
      <c r="C110" s="2">
        <v>0.85486111111111107</v>
      </c>
      <c r="D110" t="s">
        <v>8</v>
      </c>
      <c r="E110" t="s">
        <v>9</v>
      </c>
      <c r="F110">
        <v>200</v>
      </c>
      <c r="G110" t="s">
        <v>21</v>
      </c>
      <c r="H110" t="s">
        <v>48</v>
      </c>
    </row>
    <row r="111" spans="1:8" x14ac:dyDescent="0.3">
      <c r="A111">
        <v>110</v>
      </c>
      <c r="B111" s="1">
        <v>45717</v>
      </c>
      <c r="C111" s="2">
        <v>0.42708333333333331</v>
      </c>
      <c r="D111" t="s">
        <v>8</v>
      </c>
      <c r="E111" t="s">
        <v>9</v>
      </c>
      <c r="F111">
        <v>1000</v>
      </c>
      <c r="G111" t="s">
        <v>12</v>
      </c>
      <c r="H111" t="s">
        <v>54</v>
      </c>
    </row>
    <row r="112" spans="1:8" x14ac:dyDescent="0.3">
      <c r="A112">
        <v>111</v>
      </c>
      <c r="B112" s="1">
        <v>45717</v>
      </c>
      <c r="C112" s="2">
        <v>0.6</v>
      </c>
      <c r="D112" t="s">
        <v>22</v>
      </c>
      <c r="E112" t="s">
        <v>23</v>
      </c>
      <c r="F112">
        <v>195</v>
      </c>
      <c r="G112" t="s">
        <v>13</v>
      </c>
      <c r="H112" t="s">
        <v>54</v>
      </c>
    </row>
    <row r="113" spans="1:8" x14ac:dyDescent="0.3">
      <c r="A113">
        <v>112</v>
      </c>
      <c r="B113" s="1">
        <v>45717</v>
      </c>
      <c r="C113" s="2">
        <v>0.6479166666666667</v>
      </c>
      <c r="D113" t="s">
        <v>8</v>
      </c>
      <c r="E113" t="s">
        <v>9</v>
      </c>
      <c r="F113">
        <v>1510</v>
      </c>
      <c r="G113" t="s">
        <v>44</v>
      </c>
      <c r="H113" t="s">
        <v>54</v>
      </c>
    </row>
    <row r="114" spans="1:8" x14ac:dyDescent="0.3">
      <c r="A114">
        <v>113</v>
      </c>
      <c r="B114" s="1">
        <v>45717</v>
      </c>
      <c r="C114" s="2">
        <v>0.67708333333333337</v>
      </c>
      <c r="D114" t="s">
        <v>8</v>
      </c>
      <c r="E114" t="s">
        <v>9</v>
      </c>
      <c r="F114">
        <v>448</v>
      </c>
      <c r="G114" t="s">
        <v>55</v>
      </c>
      <c r="H114" t="s">
        <v>54</v>
      </c>
    </row>
    <row r="115" spans="1:8" x14ac:dyDescent="0.3">
      <c r="A115">
        <v>114</v>
      </c>
      <c r="B115" s="1">
        <v>45717</v>
      </c>
      <c r="C115" s="2">
        <v>0.75902777777777775</v>
      </c>
      <c r="D115" t="s">
        <v>8</v>
      </c>
      <c r="E115" t="s">
        <v>9</v>
      </c>
      <c r="F115">
        <v>170</v>
      </c>
      <c r="G115" t="s">
        <v>56</v>
      </c>
      <c r="H115" t="s">
        <v>54</v>
      </c>
    </row>
    <row r="116" spans="1:8" x14ac:dyDescent="0.3">
      <c r="A116">
        <v>115</v>
      </c>
      <c r="B116" s="1">
        <v>45717</v>
      </c>
      <c r="C116" s="2">
        <v>0.76249999999999996</v>
      </c>
      <c r="D116" t="s">
        <v>8</v>
      </c>
      <c r="E116" t="s">
        <v>9</v>
      </c>
      <c r="F116">
        <v>257</v>
      </c>
      <c r="G116" t="s">
        <v>57</v>
      </c>
      <c r="H116" t="s">
        <v>54</v>
      </c>
    </row>
    <row r="117" spans="1:8" x14ac:dyDescent="0.3">
      <c r="A117">
        <v>116</v>
      </c>
      <c r="B117" s="1">
        <v>45717</v>
      </c>
      <c r="C117" s="2">
        <v>0.78749999999999998</v>
      </c>
      <c r="D117" t="s">
        <v>16</v>
      </c>
      <c r="E117" t="s">
        <v>9</v>
      </c>
      <c r="F117">
        <v>170</v>
      </c>
      <c r="G117" t="s">
        <v>17</v>
      </c>
      <c r="H117" t="s">
        <v>54</v>
      </c>
    </row>
    <row r="118" spans="1:8" x14ac:dyDescent="0.3">
      <c r="A118">
        <v>117</v>
      </c>
      <c r="B118" s="1">
        <v>45717</v>
      </c>
      <c r="C118" s="2">
        <v>0.79374999999999996</v>
      </c>
      <c r="D118" t="s">
        <v>8</v>
      </c>
      <c r="E118" t="s">
        <v>9</v>
      </c>
      <c r="F118">
        <v>100</v>
      </c>
      <c r="G118" t="s">
        <v>58</v>
      </c>
      <c r="H118" t="s">
        <v>54</v>
      </c>
    </row>
    <row r="119" spans="1:8" x14ac:dyDescent="0.3">
      <c r="A119">
        <v>118</v>
      </c>
      <c r="B119" s="1">
        <v>45717</v>
      </c>
      <c r="C119" s="2">
        <v>0.7944444444444444</v>
      </c>
      <c r="D119" t="s">
        <v>8</v>
      </c>
      <c r="E119" t="s">
        <v>9</v>
      </c>
      <c r="F119">
        <v>50</v>
      </c>
      <c r="G119" t="s">
        <v>59</v>
      </c>
      <c r="H119" t="s">
        <v>54</v>
      </c>
    </row>
    <row r="120" spans="1:8" x14ac:dyDescent="0.3">
      <c r="A120">
        <v>119</v>
      </c>
      <c r="B120" s="1">
        <v>45717</v>
      </c>
      <c r="C120" s="2">
        <v>0.87291666666666667</v>
      </c>
      <c r="D120" t="s">
        <v>16</v>
      </c>
      <c r="E120" t="s">
        <v>9</v>
      </c>
      <c r="F120">
        <v>150</v>
      </c>
      <c r="G120" t="s">
        <v>17</v>
      </c>
      <c r="H120" t="s">
        <v>54</v>
      </c>
    </row>
    <row r="121" spans="1:8" x14ac:dyDescent="0.3">
      <c r="A121">
        <v>120</v>
      </c>
      <c r="B121" s="1">
        <v>45717</v>
      </c>
      <c r="C121" s="2">
        <v>0.8833333333333333</v>
      </c>
      <c r="D121" t="s">
        <v>22</v>
      </c>
      <c r="E121" t="s">
        <v>23</v>
      </c>
      <c r="F121">
        <v>250</v>
      </c>
      <c r="G121" t="s">
        <v>12</v>
      </c>
      <c r="H121" t="s">
        <v>54</v>
      </c>
    </row>
    <row r="122" spans="1:8" x14ac:dyDescent="0.3">
      <c r="A122">
        <v>121</v>
      </c>
      <c r="B122" s="1">
        <v>45717</v>
      </c>
      <c r="C122" s="2">
        <v>0.8833333333333333</v>
      </c>
      <c r="D122" t="s">
        <v>22</v>
      </c>
      <c r="E122" t="s">
        <v>23</v>
      </c>
      <c r="F122">
        <v>36</v>
      </c>
      <c r="G122" t="s">
        <v>12</v>
      </c>
      <c r="H122" t="s">
        <v>54</v>
      </c>
    </row>
    <row r="123" spans="1:8" x14ac:dyDescent="0.3">
      <c r="A123">
        <v>122</v>
      </c>
      <c r="B123" s="1">
        <v>45717</v>
      </c>
      <c r="C123" s="2">
        <v>0.88541666666666663</v>
      </c>
      <c r="D123" t="s">
        <v>8</v>
      </c>
      <c r="E123" t="s">
        <v>9</v>
      </c>
      <c r="F123">
        <v>286</v>
      </c>
      <c r="G123" t="s">
        <v>21</v>
      </c>
      <c r="H123" t="s">
        <v>54</v>
      </c>
    </row>
    <row r="124" spans="1:8" x14ac:dyDescent="0.3">
      <c r="A124">
        <v>123</v>
      </c>
      <c r="B124" s="1">
        <v>45718</v>
      </c>
      <c r="C124" s="2">
        <v>0.60347222222222219</v>
      </c>
      <c r="D124" t="s">
        <v>8</v>
      </c>
      <c r="E124" t="s">
        <v>9</v>
      </c>
      <c r="F124">
        <v>1200</v>
      </c>
      <c r="G124" t="s">
        <v>30</v>
      </c>
      <c r="H124" t="s">
        <v>54</v>
      </c>
    </row>
    <row r="125" spans="1:8" x14ac:dyDescent="0.3">
      <c r="A125">
        <v>124</v>
      </c>
      <c r="B125" s="1">
        <v>45719</v>
      </c>
      <c r="C125" s="2">
        <v>0.73958333333333337</v>
      </c>
      <c r="D125" t="s">
        <v>22</v>
      </c>
      <c r="E125" t="s">
        <v>23</v>
      </c>
      <c r="F125">
        <v>2000</v>
      </c>
      <c r="G125" t="s">
        <v>60</v>
      </c>
      <c r="H125" t="s">
        <v>54</v>
      </c>
    </row>
    <row r="126" spans="1:8" x14ac:dyDescent="0.3">
      <c r="A126">
        <v>125</v>
      </c>
      <c r="B126" s="1">
        <v>45719</v>
      </c>
      <c r="C126" s="2">
        <v>0.79374999999999996</v>
      </c>
      <c r="D126" t="s">
        <v>8</v>
      </c>
      <c r="E126" t="s">
        <v>9</v>
      </c>
      <c r="F126">
        <v>1200</v>
      </c>
      <c r="G126" t="s">
        <v>21</v>
      </c>
      <c r="H126" t="s">
        <v>54</v>
      </c>
    </row>
    <row r="127" spans="1:8" x14ac:dyDescent="0.3">
      <c r="A127">
        <v>126</v>
      </c>
      <c r="B127" s="1">
        <v>45722</v>
      </c>
      <c r="C127" s="2">
        <v>0.76666666666666672</v>
      </c>
      <c r="D127" t="s">
        <v>8</v>
      </c>
      <c r="E127" t="s">
        <v>9</v>
      </c>
      <c r="F127">
        <v>800</v>
      </c>
      <c r="G127" t="s">
        <v>21</v>
      </c>
      <c r="H127" t="s">
        <v>54</v>
      </c>
    </row>
    <row r="128" spans="1:8" x14ac:dyDescent="0.3">
      <c r="A128">
        <v>127</v>
      </c>
      <c r="B128" s="1">
        <v>45724</v>
      </c>
      <c r="C128" s="2">
        <v>0.89027777777777772</v>
      </c>
      <c r="D128" t="s">
        <v>8</v>
      </c>
      <c r="E128" t="s">
        <v>9</v>
      </c>
      <c r="F128">
        <v>65</v>
      </c>
      <c r="G128" t="s">
        <v>10</v>
      </c>
      <c r="H128" t="s">
        <v>54</v>
      </c>
    </row>
    <row r="129" spans="1:8" x14ac:dyDescent="0.3">
      <c r="A129">
        <v>128</v>
      </c>
      <c r="B129" s="1">
        <v>45725</v>
      </c>
      <c r="C129" s="2">
        <v>0.8125</v>
      </c>
      <c r="D129" t="s">
        <v>8</v>
      </c>
      <c r="E129" t="s">
        <v>9</v>
      </c>
      <c r="F129">
        <v>93</v>
      </c>
      <c r="G129" t="s">
        <v>35</v>
      </c>
      <c r="H129" t="s">
        <v>54</v>
      </c>
    </row>
    <row r="130" spans="1:8" x14ac:dyDescent="0.3">
      <c r="A130">
        <v>129</v>
      </c>
      <c r="B130" s="1">
        <v>45726</v>
      </c>
      <c r="C130" s="2">
        <v>0.85902777777777772</v>
      </c>
      <c r="D130" t="s">
        <v>22</v>
      </c>
      <c r="E130" t="s">
        <v>23</v>
      </c>
      <c r="F130">
        <v>1000</v>
      </c>
      <c r="G130" t="s">
        <v>30</v>
      </c>
      <c r="H130" t="s">
        <v>54</v>
      </c>
    </row>
    <row r="131" spans="1:8" x14ac:dyDescent="0.3">
      <c r="A131">
        <v>130</v>
      </c>
      <c r="B131" s="1">
        <v>45727</v>
      </c>
      <c r="C131" s="2">
        <v>0.79097222222222219</v>
      </c>
      <c r="D131" t="s">
        <v>8</v>
      </c>
      <c r="E131" t="s">
        <v>9</v>
      </c>
      <c r="F131">
        <v>1000</v>
      </c>
      <c r="G131" t="s">
        <v>21</v>
      </c>
      <c r="H131" t="s">
        <v>54</v>
      </c>
    </row>
    <row r="132" spans="1:8" x14ac:dyDescent="0.3">
      <c r="A132">
        <v>131</v>
      </c>
      <c r="B132" s="1">
        <v>45728</v>
      </c>
      <c r="C132" s="2">
        <v>0.51666666666666672</v>
      </c>
      <c r="D132" t="s">
        <v>8</v>
      </c>
      <c r="E132" t="s">
        <v>9</v>
      </c>
      <c r="F132">
        <v>55</v>
      </c>
      <c r="G132" t="s">
        <v>24</v>
      </c>
      <c r="H132" t="s">
        <v>54</v>
      </c>
    </row>
    <row r="133" spans="1:8" x14ac:dyDescent="0.3">
      <c r="A133">
        <v>132</v>
      </c>
      <c r="B133" s="1">
        <v>45728</v>
      </c>
      <c r="C133" s="2">
        <v>0.75416666666666665</v>
      </c>
      <c r="D133" t="s">
        <v>8</v>
      </c>
      <c r="E133" t="s">
        <v>9</v>
      </c>
      <c r="F133">
        <v>1800</v>
      </c>
      <c r="G133" t="s">
        <v>47</v>
      </c>
      <c r="H133" t="s">
        <v>54</v>
      </c>
    </row>
    <row r="134" spans="1:8" x14ac:dyDescent="0.3">
      <c r="A134">
        <v>133</v>
      </c>
      <c r="B134" s="1">
        <v>45731</v>
      </c>
      <c r="C134" s="2">
        <v>0.36805555555555558</v>
      </c>
      <c r="D134" t="s">
        <v>8</v>
      </c>
      <c r="E134" t="s">
        <v>9</v>
      </c>
      <c r="F134">
        <v>10</v>
      </c>
      <c r="G134" t="s">
        <v>59</v>
      </c>
      <c r="H134" t="s">
        <v>54</v>
      </c>
    </row>
    <row r="135" spans="1:8" x14ac:dyDescent="0.3">
      <c r="A135">
        <v>134</v>
      </c>
      <c r="B135" s="1">
        <v>45733</v>
      </c>
      <c r="C135" s="2">
        <v>0.54722222222222228</v>
      </c>
      <c r="D135" t="s">
        <v>22</v>
      </c>
      <c r="E135" t="s">
        <v>23</v>
      </c>
      <c r="F135">
        <v>1800</v>
      </c>
      <c r="G135" t="s">
        <v>47</v>
      </c>
      <c r="H135" t="s">
        <v>54</v>
      </c>
    </row>
    <row r="136" spans="1:8" x14ac:dyDescent="0.3">
      <c r="A136">
        <v>135</v>
      </c>
      <c r="B136" s="1">
        <v>45733</v>
      </c>
      <c r="C136" s="2">
        <v>0.55763888888888891</v>
      </c>
      <c r="D136" t="s">
        <v>8</v>
      </c>
      <c r="E136" t="s">
        <v>9</v>
      </c>
      <c r="F136">
        <v>1800</v>
      </c>
      <c r="G136" t="s">
        <v>21</v>
      </c>
      <c r="H136" t="s">
        <v>54</v>
      </c>
    </row>
    <row r="137" spans="1:8" x14ac:dyDescent="0.3">
      <c r="A137">
        <v>136</v>
      </c>
      <c r="B137" s="1">
        <v>45733</v>
      </c>
      <c r="C137" s="2">
        <v>0.85763888888888884</v>
      </c>
      <c r="D137" t="s">
        <v>8</v>
      </c>
      <c r="E137" t="s">
        <v>9</v>
      </c>
      <c r="F137">
        <v>14</v>
      </c>
      <c r="G137" t="s">
        <v>41</v>
      </c>
      <c r="H137" t="s">
        <v>54</v>
      </c>
    </row>
    <row r="138" spans="1:8" x14ac:dyDescent="0.3">
      <c r="A138">
        <v>137</v>
      </c>
      <c r="B138" s="1">
        <v>45735</v>
      </c>
      <c r="C138" s="2">
        <v>0.57638888888888884</v>
      </c>
      <c r="D138" t="s">
        <v>8</v>
      </c>
      <c r="E138" t="s">
        <v>9</v>
      </c>
      <c r="F138">
        <v>40</v>
      </c>
      <c r="G138" t="s">
        <v>61</v>
      </c>
      <c r="H138" t="s">
        <v>54</v>
      </c>
    </row>
    <row r="139" spans="1:8" x14ac:dyDescent="0.3">
      <c r="A139">
        <v>138</v>
      </c>
      <c r="B139" s="1">
        <v>45736</v>
      </c>
      <c r="C139" s="2">
        <v>0.82499999999999996</v>
      </c>
      <c r="D139" t="s">
        <v>22</v>
      </c>
      <c r="E139" t="s">
        <v>23</v>
      </c>
      <c r="F139">
        <v>100</v>
      </c>
      <c r="G139" t="s">
        <v>59</v>
      </c>
      <c r="H139" t="s">
        <v>54</v>
      </c>
    </row>
    <row r="140" spans="1:8" x14ac:dyDescent="0.3">
      <c r="A140">
        <v>139</v>
      </c>
      <c r="B140" s="1">
        <v>45737</v>
      </c>
      <c r="C140" s="2">
        <v>0.71736111111111112</v>
      </c>
      <c r="D140" t="s">
        <v>8</v>
      </c>
      <c r="E140" t="s">
        <v>9</v>
      </c>
      <c r="F140">
        <v>2500</v>
      </c>
      <c r="G140" t="s">
        <v>30</v>
      </c>
      <c r="H140" t="s">
        <v>54</v>
      </c>
    </row>
    <row r="141" spans="1:8" x14ac:dyDescent="0.3">
      <c r="A141">
        <v>140</v>
      </c>
      <c r="B141" s="1">
        <v>45737</v>
      </c>
      <c r="C141" s="2">
        <v>0.72083333333333333</v>
      </c>
      <c r="D141" t="s">
        <v>16</v>
      </c>
      <c r="E141" t="s">
        <v>9</v>
      </c>
      <c r="F141">
        <v>100</v>
      </c>
      <c r="G141" t="s">
        <v>17</v>
      </c>
      <c r="H141" t="s">
        <v>54</v>
      </c>
    </row>
    <row r="142" spans="1:8" x14ac:dyDescent="0.3">
      <c r="A142">
        <v>141</v>
      </c>
      <c r="B142" s="1">
        <v>45737</v>
      </c>
      <c r="C142" s="2">
        <v>0.72083333333333333</v>
      </c>
      <c r="D142" t="s">
        <v>16</v>
      </c>
      <c r="E142" t="s">
        <v>9</v>
      </c>
      <c r="F142">
        <v>4</v>
      </c>
      <c r="G142" t="s">
        <v>17</v>
      </c>
      <c r="H142" t="s">
        <v>54</v>
      </c>
    </row>
    <row r="143" spans="1:8" x14ac:dyDescent="0.3">
      <c r="A143">
        <v>142</v>
      </c>
      <c r="B143" s="1">
        <v>45737</v>
      </c>
      <c r="C143" s="2">
        <v>0.72499999999999998</v>
      </c>
      <c r="D143" t="s">
        <v>22</v>
      </c>
      <c r="E143" t="s">
        <v>23</v>
      </c>
      <c r="F143">
        <v>100</v>
      </c>
      <c r="G143" t="s">
        <v>30</v>
      </c>
      <c r="H143" t="s">
        <v>54</v>
      </c>
    </row>
    <row r="144" spans="1:8" x14ac:dyDescent="0.3">
      <c r="A144">
        <v>143</v>
      </c>
      <c r="B144" s="1">
        <v>45739</v>
      </c>
      <c r="C144" s="2">
        <v>0.69652777777777775</v>
      </c>
      <c r="D144" t="s">
        <v>22</v>
      </c>
      <c r="E144" t="s">
        <v>23</v>
      </c>
      <c r="F144">
        <v>300</v>
      </c>
      <c r="G144" t="s">
        <v>30</v>
      </c>
      <c r="H144" t="s">
        <v>54</v>
      </c>
    </row>
    <row r="145" spans="1:8" x14ac:dyDescent="0.3">
      <c r="A145">
        <v>144</v>
      </c>
      <c r="B145" s="1">
        <v>45740</v>
      </c>
      <c r="C145" s="2">
        <v>0.80486111111111114</v>
      </c>
      <c r="D145" t="s">
        <v>8</v>
      </c>
      <c r="E145" t="s">
        <v>9</v>
      </c>
      <c r="F145">
        <v>100</v>
      </c>
      <c r="G145" t="s">
        <v>62</v>
      </c>
      <c r="H145" t="s">
        <v>54</v>
      </c>
    </row>
    <row r="146" spans="1:8" x14ac:dyDescent="0.3">
      <c r="A146">
        <v>145</v>
      </c>
      <c r="B146" s="1">
        <v>45740</v>
      </c>
      <c r="C146" s="2">
        <v>0.85763888888888884</v>
      </c>
      <c r="D146" t="s">
        <v>22</v>
      </c>
      <c r="E146" t="s">
        <v>23</v>
      </c>
      <c r="F146">
        <v>200</v>
      </c>
      <c r="G146" t="s">
        <v>59</v>
      </c>
      <c r="H146" t="s">
        <v>54</v>
      </c>
    </row>
    <row r="147" spans="1:8" x14ac:dyDescent="0.3">
      <c r="A147">
        <v>146</v>
      </c>
      <c r="B147" s="1">
        <v>45740</v>
      </c>
      <c r="C147" s="2">
        <v>0.98402777777777772</v>
      </c>
      <c r="D147" t="s">
        <v>22</v>
      </c>
      <c r="E147" t="s">
        <v>23</v>
      </c>
      <c r="F147">
        <v>100</v>
      </c>
      <c r="G147" t="s">
        <v>10</v>
      </c>
      <c r="H147" t="s">
        <v>54</v>
      </c>
    </row>
    <row r="148" spans="1:8" x14ac:dyDescent="0.3">
      <c r="A148">
        <v>147</v>
      </c>
      <c r="B148" s="1">
        <v>45740</v>
      </c>
      <c r="C148" s="2">
        <v>0.98472222222222228</v>
      </c>
      <c r="D148" t="s">
        <v>22</v>
      </c>
      <c r="E148" t="s">
        <v>23</v>
      </c>
      <c r="F148">
        <v>100</v>
      </c>
      <c r="G148" t="s">
        <v>29</v>
      </c>
      <c r="H148" t="s">
        <v>54</v>
      </c>
    </row>
    <row r="149" spans="1:8" x14ac:dyDescent="0.3">
      <c r="A149">
        <v>148</v>
      </c>
      <c r="B149" s="1">
        <v>45740</v>
      </c>
      <c r="C149" s="2">
        <v>0.98472222222222228</v>
      </c>
      <c r="D149" t="s">
        <v>8</v>
      </c>
      <c r="E149" t="s">
        <v>9</v>
      </c>
      <c r="F149">
        <v>400</v>
      </c>
      <c r="G149" t="s">
        <v>62</v>
      </c>
      <c r="H149" t="s">
        <v>54</v>
      </c>
    </row>
    <row r="150" spans="1:8" x14ac:dyDescent="0.3">
      <c r="A150">
        <v>149</v>
      </c>
      <c r="B150" s="1">
        <v>45740</v>
      </c>
      <c r="C150" s="2">
        <v>0.9916666666666667</v>
      </c>
      <c r="D150" t="s">
        <v>8</v>
      </c>
      <c r="E150" t="s">
        <v>9</v>
      </c>
      <c r="F150">
        <v>400</v>
      </c>
      <c r="G150" t="s">
        <v>21</v>
      </c>
      <c r="H150" t="s">
        <v>54</v>
      </c>
    </row>
    <row r="151" spans="1:8" x14ac:dyDescent="0.3">
      <c r="A151">
        <v>150</v>
      </c>
      <c r="B151" s="1">
        <v>45741</v>
      </c>
      <c r="C151" s="2">
        <v>0.31388888888888888</v>
      </c>
      <c r="D151" t="s">
        <v>8</v>
      </c>
      <c r="E151" t="s">
        <v>9</v>
      </c>
      <c r="F151">
        <v>100</v>
      </c>
      <c r="G151" t="s">
        <v>20</v>
      </c>
      <c r="H151" t="s">
        <v>54</v>
      </c>
    </row>
    <row r="152" spans="1:8" x14ac:dyDescent="0.3">
      <c r="A152">
        <v>151</v>
      </c>
      <c r="B152" s="1">
        <v>45741</v>
      </c>
      <c r="C152" s="2">
        <v>0.31388888888888888</v>
      </c>
      <c r="D152" t="s">
        <v>8</v>
      </c>
      <c r="E152" t="s">
        <v>9</v>
      </c>
      <c r="F152">
        <v>300</v>
      </c>
      <c r="G152" t="s">
        <v>21</v>
      </c>
      <c r="H152" t="s">
        <v>54</v>
      </c>
    </row>
    <row r="153" spans="1:8" x14ac:dyDescent="0.3">
      <c r="A153">
        <v>152</v>
      </c>
      <c r="B153" s="1">
        <v>45741</v>
      </c>
      <c r="C153" s="2">
        <v>0.50486111111111109</v>
      </c>
      <c r="D153" t="s">
        <v>22</v>
      </c>
      <c r="E153" t="s">
        <v>23</v>
      </c>
      <c r="F153">
        <v>785</v>
      </c>
      <c r="G153" t="s">
        <v>63</v>
      </c>
      <c r="H153" t="s">
        <v>54</v>
      </c>
    </row>
    <row r="154" spans="1:8" x14ac:dyDescent="0.3">
      <c r="A154">
        <v>153</v>
      </c>
      <c r="B154" s="1">
        <v>45741</v>
      </c>
      <c r="C154" s="2">
        <v>0.65694444444444444</v>
      </c>
      <c r="D154" t="s">
        <v>8</v>
      </c>
      <c r="E154" t="s">
        <v>9</v>
      </c>
      <c r="F154">
        <v>400</v>
      </c>
      <c r="G154" t="s">
        <v>59</v>
      </c>
      <c r="H154" t="s">
        <v>54</v>
      </c>
    </row>
    <row r="155" spans="1:8" x14ac:dyDescent="0.3">
      <c r="A155">
        <v>154</v>
      </c>
      <c r="B155" s="1">
        <v>45742</v>
      </c>
      <c r="C155" s="2">
        <v>0.50138888888888888</v>
      </c>
      <c r="D155" t="s">
        <v>22</v>
      </c>
      <c r="E155" t="s">
        <v>23</v>
      </c>
      <c r="F155">
        <v>25</v>
      </c>
      <c r="G155" t="s">
        <v>13</v>
      </c>
      <c r="H155" t="s">
        <v>54</v>
      </c>
    </row>
    <row r="156" spans="1:8" x14ac:dyDescent="0.3">
      <c r="A156">
        <v>155</v>
      </c>
      <c r="B156" s="1">
        <v>45742</v>
      </c>
      <c r="C156" s="2">
        <v>0.50208333333333333</v>
      </c>
      <c r="D156" t="s">
        <v>8</v>
      </c>
      <c r="E156" t="s">
        <v>9</v>
      </c>
      <c r="F156">
        <v>25</v>
      </c>
      <c r="G156" t="s">
        <v>29</v>
      </c>
      <c r="H156" t="s">
        <v>54</v>
      </c>
    </row>
    <row r="157" spans="1:8" x14ac:dyDescent="0.3">
      <c r="A157">
        <v>156</v>
      </c>
      <c r="B157" s="1">
        <v>45742</v>
      </c>
      <c r="C157" s="2">
        <v>0.58263888888888893</v>
      </c>
      <c r="D157" t="s">
        <v>22</v>
      </c>
      <c r="E157" t="s">
        <v>23</v>
      </c>
      <c r="F157">
        <v>200</v>
      </c>
      <c r="G157" t="s">
        <v>59</v>
      </c>
      <c r="H157" t="s">
        <v>54</v>
      </c>
    </row>
    <row r="158" spans="1:8" x14ac:dyDescent="0.3">
      <c r="A158">
        <v>157</v>
      </c>
      <c r="B158" s="1">
        <v>45742</v>
      </c>
      <c r="C158" s="2">
        <v>0.5854166666666667</v>
      </c>
      <c r="D158" t="s">
        <v>8</v>
      </c>
      <c r="E158" t="s">
        <v>9</v>
      </c>
      <c r="F158">
        <v>500</v>
      </c>
      <c r="G158" t="s">
        <v>21</v>
      </c>
      <c r="H158" t="s">
        <v>54</v>
      </c>
    </row>
    <row r="159" spans="1:8" x14ac:dyDescent="0.3">
      <c r="A159">
        <v>158</v>
      </c>
      <c r="B159" s="1">
        <v>45742</v>
      </c>
      <c r="C159" s="2">
        <v>0.58611111111111114</v>
      </c>
      <c r="D159" t="s">
        <v>8</v>
      </c>
      <c r="E159" t="s">
        <v>9</v>
      </c>
      <c r="F159">
        <v>200</v>
      </c>
      <c r="G159" t="s">
        <v>59</v>
      </c>
      <c r="H159" t="s">
        <v>54</v>
      </c>
    </row>
    <row r="160" spans="1:8" x14ac:dyDescent="0.3">
      <c r="A160">
        <v>159</v>
      </c>
      <c r="B160" s="1">
        <v>45742</v>
      </c>
      <c r="C160" s="2">
        <v>0.60763888888888884</v>
      </c>
      <c r="D160" t="s">
        <v>22</v>
      </c>
      <c r="E160" t="s">
        <v>23</v>
      </c>
      <c r="F160">
        <v>200</v>
      </c>
      <c r="G160" t="s">
        <v>59</v>
      </c>
      <c r="H160" t="s">
        <v>54</v>
      </c>
    </row>
    <row r="161" spans="1:8" x14ac:dyDescent="0.3">
      <c r="A161">
        <v>160</v>
      </c>
      <c r="B161" s="1">
        <v>45742</v>
      </c>
      <c r="C161" s="2">
        <v>0.80208333333333337</v>
      </c>
      <c r="D161" t="s">
        <v>8</v>
      </c>
      <c r="E161" t="s">
        <v>9</v>
      </c>
      <c r="F161">
        <v>100</v>
      </c>
      <c r="G161" t="s">
        <v>62</v>
      </c>
      <c r="H161" t="s">
        <v>54</v>
      </c>
    </row>
    <row r="162" spans="1:8" x14ac:dyDescent="0.3">
      <c r="A162">
        <v>161</v>
      </c>
      <c r="B162" s="1">
        <v>45742</v>
      </c>
      <c r="C162" s="2">
        <v>0.93194444444444446</v>
      </c>
      <c r="D162" t="s">
        <v>22</v>
      </c>
      <c r="E162" t="s">
        <v>23</v>
      </c>
      <c r="F162">
        <v>19</v>
      </c>
      <c r="G162" t="s">
        <v>30</v>
      </c>
      <c r="H162" t="s">
        <v>54</v>
      </c>
    </row>
    <row r="163" spans="1:8" x14ac:dyDescent="0.3">
      <c r="A163">
        <v>162</v>
      </c>
      <c r="B163" s="1">
        <v>45743</v>
      </c>
      <c r="C163" s="2">
        <v>0.5180555555555556</v>
      </c>
      <c r="D163" t="s">
        <v>8</v>
      </c>
      <c r="E163" t="s">
        <v>9</v>
      </c>
      <c r="F163">
        <v>20</v>
      </c>
      <c r="G163" t="s">
        <v>59</v>
      </c>
      <c r="H163" t="s">
        <v>54</v>
      </c>
    </row>
    <row r="164" spans="1:8" x14ac:dyDescent="0.3">
      <c r="A164">
        <v>163</v>
      </c>
      <c r="B164" s="1">
        <v>45743</v>
      </c>
      <c r="C164" s="2">
        <v>0.5229166666666667</v>
      </c>
      <c r="D164" t="s">
        <v>22</v>
      </c>
      <c r="E164" t="s">
        <v>23</v>
      </c>
      <c r="F164">
        <v>53</v>
      </c>
      <c r="G164" t="s">
        <v>30</v>
      </c>
      <c r="H164" t="s">
        <v>54</v>
      </c>
    </row>
    <row r="165" spans="1:8" x14ac:dyDescent="0.3">
      <c r="A165">
        <v>164</v>
      </c>
      <c r="B165" s="1">
        <v>45743</v>
      </c>
      <c r="C165" s="2">
        <v>0.78819444444444442</v>
      </c>
      <c r="D165" t="s">
        <v>8</v>
      </c>
      <c r="E165" t="s">
        <v>9</v>
      </c>
      <c r="F165">
        <v>40</v>
      </c>
      <c r="G165" t="s">
        <v>64</v>
      </c>
      <c r="H165" t="s">
        <v>54</v>
      </c>
    </row>
    <row r="166" spans="1:8" x14ac:dyDescent="0.3">
      <c r="A166">
        <v>165</v>
      </c>
      <c r="B166" s="1">
        <v>45743</v>
      </c>
      <c r="C166" s="2">
        <v>0.90763888888888888</v>
      </c>
      <c r="D166" t="s">
        <v>49</v>
      </c>
      <c r="E166" t="s">
        <v>9</v>
      </c>
      <c r="F166">
        <v>126</v>
      </c>
      <c r="G166" t="s">
        <v>50</v>
      </c>
      <c r="H166" t="s">
        <v>54</v>
      </c>
    </row>
    <row r="167" spans="1:8" x14ac:dyDescent="0.3">
      <c r="A167">
        <v>166</v>
      </c>
      <c r="B167" s="1">
        <v>45744</v>
      </c>
      <c r="C167" s="2">
        <v>0.5083333333333333</v>
      </c>
      <c r="D167" t="s">
        <v>8</v>
      </c>
      <c r="E167" t="s">
        <v>9</v>
      </c>
      <c r="F167">
        <v>16</v>
      </c>
      <c r="G167" t="s">
        <v>59</v>
      </c>
      <c r="H167" t="s">
        <v>54</v>
      </c>
    </row>
    <row r="168" spans="1:8" x14ac:dyDescent="0.3">
      <c r="A168">
        <v>167</v>
      </c>
      <c r="B168" s="1">
        <v>45745</v>
      </c>
      <c r="C168" s="2">
        <v>0.42291666666666666</v>
      </c>
      <c r="D168" t="s">
        <v>8</v>
      </c>
      <c r="E168" t="s">
        <v>9</v>
      </c>
      <c r="F168">
        <v>32</v>
      </c>
      <c r="G168" t="s">
        <v>65</v>
      </c>
      <c r="H168" t="s">
        <v>54</v>
      </c>
    </row>
    <row r="169" spans="1:8" x14ac:dyDescent="0.3">
      <c r="A169">
        <v>168</v>
      </c>
      <c r="B169" s="1">
        <v>45745</v>
      </c>
      <c r="C169" s="2">
        <v>0.42708333333333331</v>
      </c>
      <c r="D169" t="s">
        <v>22</v>
      </c>
      <c r="E169" t="s">
        <v>23</v>
      </c>
      <c r="F169">
        <v>32</v>
      </c>
      <c r="G169" t="s">
        <v>30</v>
      </c>
      <c r="H169" t="s">
        <v>54</v>
      </c>
    </row>
    <row r="170" spans="1:8" x14ac:dyDescent="0.3">
      <c r="A170">
        <v>169</v>
      </c>
      <c r="B170" s="1">
        <v>45745</v>
      </c>
      <c r="C170" s="2">
        <v>0.42916666666666664</v>
      </c>
      <c r="D170" t="s">
        <v>8</v>
      </c>
      <c r="E170" t="s">
        <v>9</v>
      </c>
      <c r="F170">
        <v>32</v>
      </c>
      <c r="G170" t="s">
        <v>21</v>
      </c>
      <c r="H170" t="s">
        <v>54</v>
      </c>
    </row>
    <row r="171" spans="1:8" x14ac:dyDescent="0.3">
      <c r="A171">
        <v>170</v>
      </c>
      <c r="B171" s="1">
        <v>45745</v>
      </c>
      <c r="C171" s="2">
        <v>0.43402777777777779</v>
      </c>
      <c r="D171" t="s">
        <v>8</v>
      </c>
      <c r="E171" t="s">
        <v>9</v>
      </c>
      <c r="F171">
        <v>83</v>
      </c>
      <c r="G171" t="s">
        <v>20</v>
      </c>
      <c r="H171" t="s">
        <v>54</v>
      </c>
    </row>
    <row r="172" spans="1:8" x14ac:dyDescent="0.3">
      <c r="A172">
        <v>171</v>
      </c>
      <c r="B172" s="1">
        <v>45745</v>
      </c>
      <c r="C172" s="2">
        <v>0.43402777777777779</v>
      </c>
      <c r="D172" t="s">
        <v>16</v>
      </c>
      <c r="E172" t="s">
        <v>9</v>
      </c>
      <c r="F172">
        <v>83</v>
      </c>
      <c r="G172" t="s">
        <v>17</v>
      </c>
      <c r="H172" t="s">
        <v>54</v>
      </c>
    </row>
    <row r="173" spans="1:8" x14ac:dyDescent="0.3">
      <c r="A173">
        <v>172</v>
      </c>
      <c r="B173" s="1">
        <v>45745</v>
      </c>
      <c r="C173" s="2">
        <v>0.43472222222222223</v>
      </c>
      <c r="D173" t="s">
        <v>16</v>
      </c>
      <c r="E173" t="s">
        <v>9</v>
      </c>
      <c r="F173">
        <v>4</v>
      </c>
      <c r="G173" t="s">
        <v>17</v>
      </c>
      <c r="H173" t="s">
        <v>54</v>
      </c>
    </row>
    <row r="174" spans="1:8" x14ac:dyDescent="0.3">
      <c r="A174">
        <v>173</v>
      </c>
      <c r="B174" s="1">
        <v>45745</v>
      </c>
      <c r="C174" s="2">
        <v>0.43472222222222223</v>
      </c>
      <c r="D174" t="s">
        <v>22</v>
      </c>
      <c r="E174" t="s">
        <v>23</v>
      </c>
      <c r="F174">
        <v>4</v>
      </c>
      <c r="G174" t="s">
        <v>30</v>
      </c>
      <c r="H174" t="s">
        <v>54</v>
      </c>
    </row>
    <row r="175" spans="1:8" x14ac:dyDescent="0.3">
      <c r="A175">
        <v>174</v>
      </c>
      <c r="B175" s="1">
        <v>45745</v>
      </c>
      <c r="C175" s="2">
        <v>0.43541666666666667</v>
      </c>
      <c r="D175" t="s">
        <v>49</v>
      </c>
      <c r="E175" t="s">
        <v>9</v>
      </c>
      <c r="F175">
        <v>95</v>
      </c>
      <c r="G175" t="s">
        <v>50</v>
      </c>
      <c r="H175" t="s">
        <v>54</v>
      </c>
    </row>
    <row r="176" spans="1:8" x14ac:dyDescent="0.3">
      <c r="A176">
        <v>175</v>
      </c>
      <c r="B176" s="1">
        <v>45745</v>
      </c>
      <c r="C176" s="2">
        <v>0.49444444444444446</v>
      </c>
      <c r="D176" t="s">
        <v>22</v>
      </c>
      <c r="E176" t="s">
        <v>23</v>
      </c>
      <c r="F176">
        <v>680</v>
      </c>
      <c r="G176" t="s">
        <v>59</v>
      </c>
      <c r="H176" t="s">
        <v>54</v>
      </c>
    </row>
    <row r="177" spans="1:8" x14ac:dyDescent="0.3">
      <c r="A177">
        <v>176</v>
      </c>
      <c r="B177" s="1">
        <v>45749</v>
      </c>
      <c r="C177" s="2">
        <v>0.7270833333333333</v>
      </c>
      <c r="D177" t="s">
        <v>8</v>
      </c>
      <c r="E177" t="s">
        <v>9</v>
      </c>
      <c r="F177">
        <v>1200</v>
      </c>
      <c r="G177" t="s">
        <v>30</v>
      </c>
      <c r="H177" t="s">
        <v>66</v>
      </c>
    </row>
    <row r="178" spans="1:8" x14ac:dyDescent="0.3">
      <c r="A178">
        <v>177</v>
      </c>
      <c r="B178" s="1">
        <v>45751</v>
      </c>
      <c r="C178" s="2">
        <v>0.52708333333333335</v>
      </c>
      <c r="D178" t="s">
        <v>8</v>
      </c>
      <c r="E178" t="s">
        <v>9</v>
      </c>
      <c r="F178">
        <v>20</v>
      </c>
      <c r="G178" t="s">
        <v>59</v>
      </c>
      <c r="H178" t="s">
        <v>66</v>
      </c>
    </row>
    <row r="179" spans="1:8" x14ac:dyDescent="0.3">
      <c r="A179">
        <v>178</v>
      </c>
      <c r="B179" s="1">
        <v>45751</v>
      </c>
      <c r="C179" s="2">
        <v>0.63194444444444442</v>
      </c>
      <c r="D179" t="s">
        <v>22</v>
      </c>
      <c r="E179" t="s">
        <v>23</v>
      </c>
      <c r="F179">
        <v>3000</v>
      </c>
      <c r="G179" t="s">
        <v>29</v>
      </c>
      <c r="H179" t="s">
        <v>66</v>
      </c>
    </row>
    <row r="180" spans="1:8" x14ac:dyDescent="0.3">
      <c r="A180">
        <v>179</v>
      </c>
      <c r="B180" s="1">
        <v>45751</v>
      </c>
      <c r="C180" s="2">
        <v>0.63263888888888886</v>
      </c>
      <c r="D180" t="s">
        <v>8</v>
      </c>
      <c r="E180" t="s">
        <v>9</v>
      </c>
      <c r="F180">
        <v>3000</v>
      </c>
      <c r="G180" t="s">
        <v>30</v>
      </c>
      <c r="H180" t="s">
        <v>66</v>
      </c>
    </row>
    <row r="181" spans="1:8" x14ac:dyDescent="0.3">
      <c r="A181">
        <v>180</v>
      </c>
      <c r="B181" s="1">
        <v>45753</v>
      </c>
      <c r="C181" s="2">
        <v>0.41458333333333336</v>
      </c>
      <c r="D181" t="s">
        <v>8</v>
      </c>
      <c r="E181" t="s">
        <v>9</v>
      </c>
      <c r="F181">
        <v>1800</v>
      </c>
      <c r="G181" t="s">
        <v>30</v>
      </c>
      <c r="H181" t="s">
        <v>66</v>
      </c>
    </row>
    <row r="182" spans="1:8" x14ac:dyDescent="0.3">
      <c r="A182">
        <v>181</v>
      </c>
      <c r="B182" s="1">
        <v>45753</v>
      </c>
      <c r="C182" s="2">
        <v>0.4152777777777778</v>
      </c>
      <c r="D182" t="s">
        <v>8</v>
      </c>
      <c r="E182" t="s">
        <v>9</v>
      </c>
      <c r="F182">
        <v>200</v>
      </c>
      <c r="G182" t="s">
        <v>30</v>
      </c>
      <c r="H182" t="s">
        <v>66</v>
      </c>
    </row>
    <row r="183" spans="1:8" x14ac:dyDescent="0.3">
      <c r="A183">
        <v>182</v>
      </c>
      <c r="B183" s="1">
        <v>45753</v>
      </c>
      <c r="C183" s="2">
        <v>0.41875000000000001</v>
      </c>
      <c r="D183" t="s">
        <v>8</v>
      </c>
      <c r="E183" t="s">
        <v>9</v>
      </c>
      <c r="F183">
        <v>100</v>
      </c>
      <c r="G183" t="s">
        <v>29</v>
      </c>
      <c r="H183" t="s">
        <v>66</v>
      </c>
    </row>
    <row r="184" spans="1:8" x14ac:dyDescent="0.3">
      <c r="A184">
        <v>183</v>
      </c>
      <c r="B184" s="1">
        <v>45753</v>
      </c>
      <c r="C184" s="2">
        <v>0.52430555555555558</v>
      </c>
      <c r="D184" t="s">
        <v>8</v>
      </c>
      <c r="E184" t="s">
        <v>9</v>
      </c>
      <c r="F184">
        <v>36</v>
      </c>
      <c r="G184" t="s">
        <v>30</v>
      </c>
      <c r="H184" t="s">
        <v>66</v>
      </c>
    </row>
    <row r="185" spans="1:8" x14ac:dyDescent="0.3">
      <c r="A185">
        <v>184</v>
      </c>
      <c r="B185" s="1">
        <v>45753</v>
      </c>
      <c r="C185" s="2">
        <v>0.79166666666666663</v>
      </c>
      <c r="D185" t="s">
        <v>22</v>
      </c>
      <c r="E185" t="s">
        <v>23</v>
      </c>
      <c r="F185">
        <v>14</v>
      </c>
      <c r="G185" t="s">
        <v>12</v>
      </c>
      <c r="H185" t="s">
        <v>66</v>
      </c>
    </row>
    <row r="186" spans="1:8" x14ac:dyDescent="0.3">
      <c r="A186">
        <v>185</v>
      </c>
      <c r="B186" s="1">
        <v>45754</v>
      </c>
      <c r="C186" s="2">
        <v>0.69374999999999998</v>
      </c>
      <c r="D186" t="s">
        <v>22</v>
      </c>
      <c r="E186" t="s">
        <v>23</v>
      </c>
      <c r="F186">
        <v>200</v>
      </c>
      <c r="G186" t="s">
        <v>59</v>
      </c>
      <c r="H186" t="s">
        <v>66</v>
      </c>
    </row>
    <row r="187" spans="1:8" x14ac:dyDescent="0.3">
      <c r="A187">
        <v>186</v>
      </c>
      <c r="B187" s="1">
        <v>45754</v>
      </c>
      <c r="C187" s="2">
        <v>0.75972222222222219</v>
      </c>
      <c r="D187" t="s">
        <v>22</v>
      </c>
      <c r="E187" t="s">
        <v>23</v>
      </c>
      <c r="F187">
        <v>200</v>
      </c>
      <c r="G187" t="s">
        <v>12</v>
      </c>
      <c r="H187" t="s">
        <v>66</v>
      </c>
    </row>
    <row r="188" spans="1:8" x14ac:dyDescent="0.3">
      <c r="A188">
        <v>187</v>
      </c>
      <c r="B188" s="1">
        <v>45754</v>
      </c>
      <c r="C188" s="2">
        <v>0.7631944444444444</v>
      </c>
      <c r="D188" t="s">
        <v>8</v>
      </c>
      <c r="E188" t="s">
        <v>9</v>
      </c>
      <c r="F188">
        <v>200</v>
      </c>
      <c r="G188" t="s">
        <v>62</v>
      </c>
      <c r="H188" t="s">
        <v>66</v>
      </c>
    </row>
    <row r="189" spans="1:8" x14ac:dyDescent="0.3">
      <c r="A189">
        <v>188</v>
      </c>
      <c r="B189" s="1">
        <v>45754</v>
      </c>
      <c r="C189" s="2">
        <v>0.85833333333333328</v>
      </c>
      <c r="D189" t="s">
        <v>22</v>
      </c>
      <c r="E189" t="s">
        <v>23</v>
      </c>
      <c r="F189">
        <v>22</v>
      </c>
      <c r="G189" t="s">
        <v>59</v>
      </c>
      <c r="H189" t="s">
        <v>66</v>
      </c>
    </row>
    <row r="190" spans="1:8" x14ac:dyDescent="0.3">
      <c r="A190">
        <v>189</v>
      </c>
      <c r="B190" s="1">
        <v>45754</v>
      </c>
      <c r="C190" s="2">
        <v>0.875</v>
      </c>
      <c r="D190" t="s">
        <v>22</v>
      </c>
      <c r="E190" t="s">
        <v>23</v>
      </c>
      <c r="F190">
        <v>200</v>
      </c>
      <c r="G190" t="s">
        <v>13</v>
      </c>
      <c r="H190" t="s">
        <v>66</v>
      </c>
    </row>
    <row r="191" spans="1:8" x14ac:dyDescent="0.3">
      <c r="A191">
        <v>190</v>
      </c>
      <c r="B191" s="1">
        <v>45754</v>
      </c>
      <c r="C191" s="2">
        <v>0.87569444444444444</v>
      </c>
      <c r="D191" t="s">
        <v>8</v>
      </c>
      <c r="E191" t="s">
        <v>9</v>
      </c>
      <c r="F191">
        <v>300</v>
      </c>
      <c r="G191" t="s">
        <v>67</v>
      </c>
      <c r="H191" t="s">
        <v>66</v>
      </c>
    </row>
    <row r="192" spans="1:8" x14ac:dyDescent="0.3">
      <c r="A192">
        <v>191</v>
      </c>
      <c r="B192" s="1">
        <v>45757</v>
      </c>
      <c r="C192" s="2">
        <v>0.56458333333333333</v>
      </c>
      <c r="D192" t="s">
        <v>8</v>
      </c>
      <c r="E192" t="s">
        <v>9</v>
      </c>
      <c r="F192">
        <v>70</v>
      </c>
      <c r="G192" t="s">
        <v>68</v>
      </c>
      <c r="H192" t="s">
        <v>66</v>
      </c>
    </row>
    <row r="193" spans="1:8" x14ac:dyDescent="0.3">
      <c r="A193">
        <v>192</v>
      </c>
      <c r="B193" s="1">
        <v>45758</v>
      </c>
      <c r="C193" s="2">
        <v>0.55069444444444449</v>
      </c>
      <c r="D193" t="s">
        <v>22</v>
      </c>
      <c r="E193" t="s">
        <v>23</v>
      </c>
      <c r="F193">
        <v>35</v>
      </c>
      <c r="G193" t="s">
        <v>68</v>
      </c>
      <c r="H193" t="s">
        <v>66</v>
      </c>
    </row>
    <row r="194" spans="1:8" x14ac:dyDescent="0.3">
      <c r="A194">
        <v>193</v>
      </c>
      <c r="B194" s="1">
        <v>45758</v>
      </c>
      <c r="C194" s="2">
        <v>0.55069444444444449</v>
      </c>
      <c r="D194" t="s">
        <v>22</v>
      </c>
      <c r="E194" t="s">
        <v>23</v>
      </c>
      <c r="F194">
        <v>70</v>
      </c>
      <c r="G194" t="s">
        <v>30</v>
      </c>
      <c r="H194" t="s">
        <v>66</v>
      </c>
    </row>
    <row r="195" spans="1:8" x14ac:dyDescent="0.3">
      <c r="A195">
        <v>194</v>
      </c>
      <c r="B195" s="1">
        <v>45758</v>
      </c>
      <c r="C195" s="2">
        <v>0.56597222222222221</v>
      </c>
      <c r="D195" t="s">
        <v>8</v>
      </c>
      <c r="E195" t="s">
        <v>9</v>
      </c>
      <c r="F195">
        <v>31</v>
      </c>
      <c r="G195" t="s">
        <v>33</v>
      </c>
      <c r="H195" t="s">
        <v>66</v>
      </c>
    </row>
    <row r="196" spans="1:8" x14ac:dyDescent="0.3">
      <c r="A196">
        <v>195</v>
      </c>
      <c r="B196" s="1">
        <v>45758</v>
      </c>
      <c r="C196" s="2">
        <v>0.7944444444444444</v>
      </c>
      <c r="D196" t="s">
        <v>22</v>
      </c>
      <c r="E196" t="s">
        <v>23</v>
      </c>
      <c r="F196">
        <v>1000</v>
      </c>
      <c r="G196" t="s">
        <v>30</v>
      </c>
      <c r="H196" t="s">
        <v>66</v>
      </c>
    </row>
    <row r="197" spans="1:8" x14ac:dyDescent="0.3">
      <c r="A197">
        <v>196</v>
      </c>
      <c r="B197" s="1">
        <v>45759</v>
      </c>
      <c r="C197" s="2">
        <v>0.38263888888888886</v>
      </c>
      <c r="D197" t="s">
        <v>22</v>
      </c>
      <c r="E197" t="s">
        <v>23</v>
      </c>
      <c r="F197">
        <v>2000</v>
      </c>
      <c r="G197" t="s">
        <v>30</v>
      </c>
      <c r="H197" t="s">
        <v>66</v>
      </c>
    </row>
    <row r="198" spans="1:8" x14ac:dyDescent="0.3">
      <c r="A198">
        <v>197</v>
      </c>
      <c r="B198" s="1">
        <v>45759</v>
      </c>
      <c r="C198" s="2">
        <v>0.47222222222222221</v>
      </c>
      <c r="D198" t="s">
        <v>8</v>
      </c>
      <c r="E198" t="s">
        <v>9</v>
      </c>
      <c r="F198">
        <v>50</v>
      </c>
      <c r="G198" t="s">
        <v>68</v>
      </c>
      <c r="H198" t="s">
        <v>66</v>
      </c>
    </row>
    <row r="199" spans="1:8" x14ac:dyDescent="0.3">
      <c r="A199">
        <v>198</v>
      </c>
      <c r="B199" s="1">
        <v>45760</v>
      </c>
      <c r="C199" s="2">
        <v>0.51249999999999996</v>
      </c>
      <c r="D199" t="s">
        <v>8</v>
      </c>
      <c r="E199" t="s">
        <v>9</v>
      </c>
      <c r="F199">
        <v>2000</v>
      </c>
      <c r="G199" t="s">
        <v>68</v>
      </c>
      <c r="H199" t="s">
        <v>66</v>
      </c>
    </row>
    <row r="200" spans="1:8" x14ac:dyDescent="0.3">
      <c r="A200">
        <v>199</v>
      </c>
      <c r="B200" s="1">
        <v>45760</v>
      </c>
      <c r="C200" s="2">
        <v>0.52500000000000002</v>
      </c>
      <c r="D200" t="s">
        <v>22</v>
      </c>
      <c r="E200" t="s">
        <v>23</v>
      </c>
      <c r="F200">
        <v>2000</v>
      </c>
      <c r="G200" t="s">
        <v>30</v>
      </c>
      <c r="H200" t="s">
        <v>66</v>
      </c>
    </row>
    <row r="201" spans="1:8" x14ac:dyDescent="0.3">
      <c r="A201">
        <v>200</v>
      </c>
      <c r="B201" s="1">
        <v>45760</v>
      </c>
      <c r="C201" s="2">
        <v>0.61597222222222225</v>
      </c>
      <c r="D201" t="s">
        <v>22</v>
      </c>
      <c r="E201" t="s">
        <v>23</v>
      </c>
      <c r="F201">
        <v>300</v>
      </c>
      <c r="G201" t="s">
        <v>30</v>
      </c>
      <c r="H201" t="s">
        <v>66</v>
      </c>
    </row>
    <row r="202" spans="1:8" x14ac:dyDescent="0.3">
      <c r="A202">
        <v>201</v>
      </c>
      <c r="B202" s="1">
        <v>45760</v>
      </c>
      <c r="C202" s="2">
        <v>0.61597222222222225</v>
      </c>
      <c r="D202" t="s">
        <v>8</v>
      </c>
      <c r="E202" t="s">
        <v>9</v>
      </c>
      <c r="F202">
        <v>300</v>
      </c>
      <c r="G202" t="s">
        <v>30</v>
      </c>
      <c r="H202" t="s">
        <v>66</v>
      </c>
    </row>
    <row r="203" spans="1:8" x14ac:dyDescent="0.3">
      <c r="A203">
        <v>202</v>
      </c>
      <c r="B203" s="1">
        <v>45760</v>
      </c>
      <c r="C203" s="2">
        <v>0.70138888888888884</v>
      </c>
      <c r="D203" t="s">
        <v>22</v>
      </c>
      <c r="E203" t="s">
        <v>23</v>
      </c>
      <c r="F203">
        <v>1700</v>
      </c>
      <c r="G203" t="s">
        <v>68</v>
      </c>
      <c r="H203" t="s">
        <v>66</v>
      </c>
    </row>
    <row r="204" spans="1:8" x14ac:dyDescent="0.3">
      <c r="A204">
        <v>203</v>
      </c>
      <c r="B204" s="1">
        <v>45760</v>
      </c>
      <c r="C204" s="2">
        <v>0.70347222222222228</v>
      </c>
      <c r="D204" t="s">
        <v>8</v>
      </c>
      <c r="E204" t="s">
        <v>9</v>
      </c>
      <c r="F204">
        <v>1700</v>
      </c>
      <c r="G204" t="s">
        <v>67</v>
      </c>
      <c r="H204" t="s">
        <v>66</v>
      </c>
    </row>
    <row r="205" spans="1:8" x14ac:dyDescent="0.3">
      <c r="A205">
        <v>204</v>
      </c>
      <c r="B205" s="1">
        <v>45760</v>
      </c>
      <c r="C205" s="2">
        <v>0.96458333333333335</v>
      </c>
      <c r="D205" t="s">
        <v>8</v>
      </c>
      <c r="E205" t="s">
        <v>9</v>
      </c>
      <c r="F205">
        <v>100</v>
      </c>
      <c r="G205" t="s">
        <v>69</v>
      </c>
      <c r="H205" t="s">
        <v>66</v>
      </c>
    </row>
    <row r="206" spans="1:8" x14ac:dyDescent="0.3">
      <c r="A206">
        <v>205</v>
      </c>
      <c r="B206" s="1">
        <v>45761</v>
      </c>
      <c r="C206" s="2">
        <v>0.37708333333333333</v>
      </c>
      <c r="D206" t="s">
        <v>8</v>
      </c>
      <c r="E206" t="s">
        <v>9</v>
      </c>
      <c r="F206">
        <v>1079</v>
      </c>
      <c r="G206" t="s">
        <v>30</v>
      </c>
      <c r="H206" t="s">
        <v>66</v>
      </c>
    </row>
    <row r="207" spans="1:8" x14ac:dyDescent="0.3">
      <c r="A207">
        <v>206</v>
      </c>
      <c r="B207" s="1">
        <v>45761</v>
      </c>
      <c r="C207" s="2">
        <v>0.4201388888888889</v>
      </c>
      <c r="D207" t="s">
        <v>27</v>
      </c>
      <c r="E207" t="s">
        <v>9</v>
      </c>
      <c r="F207">
        <v>467</v>
      </c>
      <c r="G207" t="s">
        <v>70</v>
      </c>
      <c r="H207" t="s">
        <v>66</v>
      </c>
    </row>
    <row r="208" spans="1:8" x14ac:dyDescent="0.3">
      <c r="A208">
        <v>207</v>
      </c>
      <c r="B208" s="1">
        <v>45762</v>
      </c>
      <c r="C208" s="2">
        <v>0.67013888888888884</v>
      </c>
      <c r="D208" t="s">
        <v>8</v>
      </c>
      <c r="E208" t="s">
        <v>9</v>
      </c>
      <c r="F208">
        <v>80</v>
      </c>
      <c r="G208" t="s">
        <v>71</v>
      </c>
      <c r="H208" t="s">
        <v>66</v>
      </c>
    </row>
    <row r="209" spans="1:8" x14ac:dyDescent="0.3">
      <c r="A209">
        <v>208</v>
      </c>
      <c r="B209" s="1">
        <v>45762</v>
      </c>
      <c r="C209" s="2">
        <v>0.80069444444444449</v>
      </c>
      <c r="D209" t="s">
        <v>22</v>
      </c>
      <c r="E209" t="s">
        <v>23</v>
      </c>
      <c r="F209">
        <v>3000</v>
      </c>
      <c r="G209" t="s">
        <v>68</v>
      </c>
      <c r="H209" t="s">
        <v>66</v>
      </c>
    </row>
    <row r="210" spans="1:8" x14ac:dyDescent="0.3">
      <c r="A210">
        <v>209</v>
      </c>
      <c r="B210" s="1">
        <v>45762</v>
      </c>
      <c r="C210" s="2">
        <v>0.80486111111111114</v>
      </c>
      <c r="D210" t="s">
        <v>8</v>
      </c>
      <c r="E210" t="s">
        <v>9</v>
      </c>
      <c r="F210">
        <v>3000</v>
      </c>
      <c r="G210" t="s">
        <v>67</v>
      </c>
      <c r="H210" t="s">
        <v>66</v>
      </c>
    </row>
    <row r="211" spans="1:8" x14ac:dyDescent="0.3">
      <c r="A211">
        <v>210</v>
      </c>
      <c r="B211" s="1">
        <v>45762</v>
      </c>
      <c r="C211" s="2">
        <v>0.80763888888888891</v>
      </c>
      <c r="D211" t="s">
        <v>22</v>
      </c>
      <c r="E211" t="s">
        <v>23</v>
      </c>
      <c r="F211">
        <v>500</v>
      </c>
      <c r="G211" t="s">
        <v>68</v>
      </c>
      <c r="H211" t="s">
        <v>66</v>
      </c>
    </row>
    <row r="212" spans="1:8" x14ac:dyDescent="0.3">
      <c r="A212">
        <v>211</v>
      </c>
      <c r="B212" s="1">
        <v>45762</v>
      </c>
      <c r="C212" s="2">
        <v>0.85347222222222219</v>
      </c>
      <c r="D212" t="s">
        <v>8</v>
      </c>
      <c r="E212" t="s">
        <v>9</v>
      </c>
      <c r="F212">
        <v>800</v>
      </c>
      <c r="G212" t="s">
        <v>72</v>
      </c>
      <c r="H212" t="s">
        <v>66</v>
      </c>
    </row>
    <row r="213" spans="1:8" x14ac:dyDescent="0.3">
      <c r="A213">
        <v>212</v>
      </c>
      <c r="B213" s="1">
        <v>45763</v>
      </c>
      <c r="C213" s="2">
        <v>0.57222222222222219</v>
      </c>
      <c r="D213" t="s">
        <v>22</v>
      </c>
      <c r="E213" t="s">
        <v>23</v>
      </c>
      <c r="F213">
        <v>200</v>
      </c>
      <c r="G213" t="s">
        <v>29</v>
      </c>
      <c r="H213" t="s">
        <v>66</v>
      </c>
    </row>
    <row r="214" spans="1:8" x14ac:dyDescent="0.3">
      <c r="A214">
        <v>213</v>
      </c>
      <c r="B214" s="1">
        <v>45763</v>
      </c>
      <c r="C214" s="2">
        <v>0.57291666666666663</v>
      </c>
      <c r="D214" t="s">
        <v>22</v>
      </c>
      <c r="E214" t="s">
        <v>23</v>
      </c>
      <c r="F214">
        <v>200</v>
      </c>
      <c r="G214" t="s">
        <v>10</v>
      </c>
      <c r="H214" t="s">
        <v>66</v>
      </c>
    </row>
    <row r="215" spans="1:8" x14ac:dyDescent="0.3">
      <c r="A215">
        <v>214</v>
      </c>
      <c r="B215" s="1">
        <v>45763</v>
      </c>
      <c r="C215" s="2">
        <v>0.62083333333333335</v>
      </c>
      <c r="D215" t="s">
        <v>8</v>
      </c>
      <c r="E215" t="s">
        <v>9</v>
      </c>
      <c r="F215">
        <v>330</v>
      </c>
      <c r="G215" t="s">
        <v>73</v>
      </c>
      <c r="H215" t="s">
        <v>66</v>
      </c>
    </row>
    <row r="216" spans="1:8" x14ac:dyDescent="0.3">
      <c r="A216">
        <v>215</v>
      </c>
      <c r="B216" s="1">
        <v>45763</v>
      </c>
      <c r="C216" s="2">
        <v>0.62222222222222223</v>
      </c>
      <c r="D216" t="s">
        <v>8</v>
      </c>
      <c r="E216" t="s">
        <v>9</v>
      </c>
      <c r="F216">
        <v>10</v>
      </c>
      <c r="G216" t="s">
        <v>56</v>
      </c>
      <c r="H216" t="s">
        <v>66</v>
      </c>
    </row>
    <row r="217" spans="1:8" x14ac:dyDescent="0.3">
      <c r="A217">
        <v>216</v>
      </c>
      <c r="B217" s="1">
        <v>45763</v>
      </c>
      <c r="C217" s="2">
        <v>0.8125</v>
      </c>
      <c r="D217" t="s">
        <v>8</v>
      </c>
      <c r="E217" t="s">
        <v>9</v>
      </c>
      <c r="F217">
        <v>60</v>
      </c>
      <c r="G217" t="s">
        <v>29</v>
      </c>
      <c r="H217" t="s">
        <v>66</v>
      </c>
    </row>
    <row r="218" spans="1:8" x14ac:dyDescent="0.3">
      <c r="A218">
        <v>217</v>
      </c>
      <c r="B218" s="1">
        <v>45764</v>
      </c>
      <c r="C218" s="2">
        <v>0.8125</v>
      </c>
      <c r="D218" t="s">
        <v>22</v>
      </c>
      <c r="E218" t="s">
        <v>23</v>
      </c>
      <c r="F218">
        <v>100</v>
      </c>
      <c r="G218" t="s">
        <v>68</v>
      </c>
      <c r="H218" t="s">
        <v>66</v>
      </c>
    </row>
    <row r="219" spans="1:8" x14ac:dyDescent="0.3">
      <c r="A219">
        <v>218</v>
      </c>
      <c r="B219" s="1">
        <v>45765</v>
      </c>
      <c r="C219" s="2">
        <v>0.41041666666666665</v>
      </c>
      <c r="D219" t="s">
        <v>22</v>
      </c>
      <c r="E219" t="s">
        <v>23</v>
      </c>
      <c r="F219">
        <v>40</v>
      </c>
      <c r="G219" t="s">
        <v>30</v>
      </c>
      <c r="H219" t="s">
        <v>66</v>
      </c>
    </row>
    <row r="220" spans="1:8" x14ac:dyDescent="0.3">
      <c r="A220">
        <v>219</v>
      </c>
      <c r="B220" s="1">
        <v>45765</v>
      </c>
      <c r="C220" s="2">
        <v>0.41041666666666665</v>
      </c>
      <c r="D220" t="s">
        <v>22</v>
      </c>
      <c r="E220" t="s">
        <v>23</v>
      </c>
      <c r="F220">
        <v>2600</v>
      </c>
      <c r="G220" t="s">
        <v>74</v>
      </c>
      <c r="H220" t="s">
        <v>66</v>
      </c>
    </row>
    <row r="221" spans="1:8" x14ac:dyDescent="0.3">
      <c r="A221">
        <v>220</v>
      </c>
      <c r="B221" s="1">
        <v>45765</v>
      </c>
      <c r="C221" s="2">
        <v>0.41111111111111109</v>
      </c>
      <c r="D221" t="s">
        <v>8</v>
      </c>
      <c r="E221" t="s">
        <v>9</v>
      </c>
      <c r="F221">
        <v>2640</v>
      </c>
      <c r="G221" t="s">
        <v>30</v>
      </c>
      <c r="H221" t="s">
        <v>66</v>
      </c>
    </row>
    <row r="222" spans="1:8" x14ac:dyDescent="0.3">
      <c r="A222">
        <v>221</v>
      </c>
      <c r="B222" s="1">
        <v>45765</v>
      </c>
      <c r="C222" s="2">
        <v>0.47291666666666665</v>
      </c>
      <c r="D222" t="s">
        <v>8</v>
      </c>
      <c r="E222" t="s">
        <v>9</v>
      </c>
      <c r="F222">
        <v>4000</v>
      </c>
      <c r="G222" t="s">
        <v>68</v>
      </c>
      <c r="H222" t="s">
        <v>66</v>
      </c>
    </row>
    <row r="223" spans="1:8" x14ac:dyDescent="0.3">
      <c r="A223">
        <v>222</v>
      </c>
      <c r="B223" s="1">
        <v>45765</v>
      </c>
      <c r="C223" s="2">
        <v>0.60416666666666663</v>
      </c>
      <c r="D223" t="s">
        <v>8</v>
      </c>
      <c r="E223" t="s">
        <v>9</v>
      </c>
      <c r="F223">
        <v>300</v>
      </c>
      <c r="G223" t="s">
        <v>75</v>
      </c>
      <c r="H223" t="s">
        <v>66</v>
      </c>
    </row>
    <row r="224" spans="1:8" x14ac:dyDescent="0.3">
      <c r="A224">
        <v>223</v>
      </c>
      <c r="B224" s="1">
        <v>45765</v>
      </c>
      <c r="C224" s="2">
        <v>0.60972222222222228</v>
      </c>
      <c r="D224" t="s">
        <v>8</v>
      </c>
      <c r="E224" t="s">
        <v>9</v>
      </c>
      <c r="F224">
        <v>260</v>
      </c>
      <c r="G224" t="s">
        <v>76</v>
      </c>
      <c r="H224" t="s">
        <v>66</v>
      </c>
    </row>
    <row r="225" spans="1:8" x14ac:dyDescent="0.3">
      <c r="A225">
        <v>224</v>
      </c>
      <c r="B225" s="1">
        <v>45765</v>
      </c>
      <c r="C225" s="2">
        <v>0.62361111111111112</v>
      </c>
      <c r="D225" t="s">
        <v>8</v>
      </c>
      <c r="E225" t="s">
        <v>9</v>
      </c>
      <c r="F225">
        <v>50</v>
      </c>
      <c r="G225" t="s">
        <v>30</v>
      </c>
      <c r="H225" t="s">
        <v>66</v>
      </c>
    </row>
    <row r="226" spans="1:8" x14ac:dyDescent="0.3">
      <c r="A226">
        <v>225</v>
      </c>
      <c r="B226" s="1">
        <v>45765</v>
      </c>
      <c r="C226" s="2">
        <v>0.62430555555555556</v>
      </c>
      <c r="D226" t="s">
        <v>8</v>
      </c>
      <c r="E226" t="s">
        <v>9</v>
      </c>
      <c r="F226">
        <v>10</v>
      </c>
      <c r="G226" t="s">
        <v>30</v>
      </c>
      <c r="H226" t="s">
        <v>66</v>
      </c>
    </row>
    <row r="227" spans="1:8" x14ac:dyDescent="0.3">
      <c r="A227">
        <v>226</v>
      </c>
      <c r="B227" s="1">
        <v>45765</v>
      </c>
      <c r="C227" s="2">
        <v>0.63611111111111107</v>
      </c>
      <c r="D227" t="s">
        <v>8</v>
      </c>
      <c r="E227" t="s">
        <v>9</v>
      </c>
      <c r="F227">
        <v>60</v>
      </c>
      <c r="G227" t="s">
        <v>77</v>
      </c>
      <c r="H227" t="s">
        <v>66</v>
      </c>
    </row>
    <row r="228" spans="1:8" x14ac:dyDescent="0.3">
      <c r="A228">
        <v>227</v>
      </c>
      <c r="B228" s="1">
        <v>45766</v>
      </c>
      <c r="C228" s="2">
        <v>0.64166666666666672</v>
      </c>
      <c r="D228" t="s">
        <v>22</v>
      </c>
      <c r="E228" t="s">
        <v>23</v>
      </c>
      <c r="F228">
        <v>2000</v>
      </c>
      <c r="G228" t="s">
        <v>68</v>
      </c>
      <c r="H228" t="s">
        <v>66</v>
      </c>
    </row>
    <row r="229" spans="1:8" x14ac:dyDescent="0.3">
      <c r="A229">
        <v>228</v>
      </c>
      <c r="B229" s="1">
        <v>45766</v>
      </c>
      <c r="C229" s="2">
        <v>0.64375000000000004</v>
      </c>
      <c r="D229" t="s">
        <v>8</v>
      </c>
      <c r="E229" t="s">
        <v>9</v>
      </c>
      <c r="F229">
        <v>2000</v>
      </c>
      <c r="G229" t="s">
        <v>67</v>
      </c>
      <c r="H229" t="s">
        <v>66</v>
      </c>
    </row>
    <row r="230" spans="1:8" x14ac:dyDescent="0.3">
      <c r="A230">
        <v>229</v>
      </c>
      <c r="B230" s="1">
        <v>45767</v>
      </c>
      <c r="C230" s="2">
        <v>0.33263888888888887</v>
      </c>
      <c r="D230" t="s">
        <v>22</v>
      </c>
      <c r="E230" t="s">
        <v>23</v>
      </c>
      <c r="F230">
        <v>30</v>
      </c>
      <c r="G230" t="s">
        <v>68</v>
      </c>
      <c r="H230" t="s">
        <v>66</v>
      </c>
    </row>
    <row r="231" spans="1:8" x14ac:dyDescent="0.3">
      <c r="A231">
        <v>230</v>
      </c>
      <c r="B231" s="1">
        <v>45767</v>
      </c>
      <c r="C231" s="2">
        <v>0.33333333333333331</v>
      </c>
      <c r="D231" t="s">
        <v>8</v>
      </c>
      <c r="E231" t="s">
        <v>9</v>
      </c>
      <c r="F231">
        <v>30</v>
      </c>
      <c r="G231" t="s">
        <v>68</v>
      </c>
      <c r="H231" t="s">
        <v>66</v>
      </c>
    </row>
    <row r="232" spans="1:8" x14ac:dyDescent="0.3">
      <c r="A232">
        <v>231</v>
      </c>
      <c r="B232" s="1">
        <v>45767</v>
      </c>
      <c r="C232" s="2">
        <v>0.54374999999999996</v>
      </c>
      <c r="D232" t="s">
        <v>8</v>
      </c>
      <c r="E232" t="s">
        <v>9</v>
      </c>
      <c r="F232">
        <v>2500</v>
      </c>
      <c r="G232" t="s">
        <v>68</v>
      </c>
      <c r="H232" t="s">
        <v>66</v>
      </c>
    </row>
    <row r="233" spans="1:8" x14ac:dyDescent="0.3">
      <c r="A233">
        <v>232</v>
      </c>
      <c r="B233" s="1">
        <v>45767</v>
      </c>
      <c r="C233" s="2">
        <v>0.54513888888888884</v>
      </c>
      <c r="D233" t="s">
        <v>22</v>
      </c>
      <c r="E233" t="s">
        <v>23</v>
      </c>
      <c r="F233">
        <v>1000</v>
      </c>
      <c r="G233" t="s">
        <v>68</v>
      </c>
      <c r="H233" t="s">
        <v>66</v>
      </c>
    </row>
    <row r="234" spans="1:8" x14ac:dyDescent="0.3">
      <c r="A234">
        <v>233</v>
      </c>
      <c r="B234" s="1">
        <v>45767</v>
      </c>
      <c r="C234" s="2">
        <v>0.55486111111111114</v>
      </c>
      <c r="D234" t="s">
        <v>22</v>
      </c>
      <c r="E234" t="s">
        <v>23</v>
      </c>
      <c r="F234">
        <v>3000</v>
      </c>
      <c r="G234" t="s">
        <v>30</v>
      </c>
      <c r="H234" t="s">
        <v>66</v>
      </c>
    </row>
    <row r="235" spans="1:8" x14ac:dyDescent="0.3">
      <c r="A235">
        <v>234</v>
      </c>
      <c r="B235" s="1">
        <v>45767</v>
      </c>
      <c r="C235" s="2">
        <v>0.55694444444444446</v>
      </c>
      <c r="D235" t="s">
        <v>8</v>
      </c>
      <c r="E235" t="s">
        <v>9</v>
      </c>
      <c r="F235">
        <v>1000</v>
      </c>
      <c r="G235" t="s">
        <v>67</v>
      </c>
      <c r="H235" t="s">
        <v>66</v>
      </c>
    </row>
    <row r="236" spans="1:8" x14ac:dyDescent="0.3">
      <c r="A236">
        <v>235</v>
      </c>
      <c r="B236" s="1">
        <v>45767</v>
      </c>
      <c r="C236" s="2">
        <v>0.62847222222222221</v>
      </c>
      <c r="D236" t="s">
        <v>8</v>
      </c>
      <c r="E236" t="s">
        <v>9</v>
      </c>
      <c r="F236">
        <v>530</v>
      </c>
      <c r="G236" t="s">
        <v>78</v>
      </c>
      <c r="H236" t="s">
        <v>66</v>
      </c>
    </row>
    <row r="237" spans="1:8" x14ac:dyDescent="0.3">
      <c r="A237">
        <v>236</v>
      </c>
      <c r="B237" s="1">
        <v>45767</v>
      </c>
      <c r="C237" s="2">
        <v>0.6430555555555556</v>
      </c>
      <c r="D237" t="s">
        <v>22</v>
      </c>
      <c r="E237" t="s">
        <v>23</v>
      </c>
      <c r="F237">
        <v>1300</v>
      </c>
      <c r="G237" t="s">
        <v>68</v>
      </c>
      <c r="H237" t="s">
        <v>66</v>
      </c>
    </row>
    <row r="238" spans="1:8" x14ac:dyDescent="0.3">
      <c r="A238">
        <v>237</v>
      </c>
      <c r="B238" s="1">
        <v>45767</v>
      </c>
      <c r="C238" s="2">
        <v>0.64513888888888893</v>
      </c>
      <c r="D238" t="s">
        <v>8</v>
      </c>
      <c r="E238" t="s">
        <v>9</v>
      </c>
      <c r="F238">
        <v>1300</v>
      </c>
      <c r="G238" t="s">
        <v>67</v>
      </c>
      <c r="H238" t="s">
        <v>66</v>
      </c>
    </row>
    <row r="239" spans="1:8" x14ac:dyDescent="0.3">
      <c r="A239">
        <v>238</v>
      </c>
      <c r="B239" s="1">
        <v>45768</v>
      </c>
      <c r="C239" s="2">
        <v>0.57152777777777775</v>
      </c>
      <c r="D239" t="s">
        <v>8</v>
      </c>
      <c r="E239" t="s">
        <v>9</v>
      </c>
      <c r="F239">
        <v>500</v>
      </c>
      <c r="G239" t="s">
        <v>68</v>
      </c>
      <c r="H239" t="s">
        <v>66</v>
      </c>
    </row>
    <row r="240" spans="1:8" x14ac:dyDescent="0.3">
      <c r="A240">
        <v>239</v>
      </c>
      <c r="B240" s="1">
        <v>45768</v>
      </c>
      <c r="C240" s="2">
        <v>0.83263888888888893</v>
      </c>
      <c r="D240" t="s">
        <v>22</v>
      </c>
      <c r="E240" t="s">
        <v>23</v>
      </c>
      <c r="F240">
        <v>2000</v>
      </c>
      <c r="G240" t="s">
        <v>79</v>
      </c>
      <c r="H240" t="s">
        <v>66</v>
      </c>
    </row>
    <row r="241" spans="1:8" x14ac:dyDescent="0.3">
      <c r="A241">
        <v>240</v>
      </c>
      <c r="B241" s="1">
        <v>45770</v>
      </c>
      <c r="C241" s="2">
        <v>0.85</v>
      </c>
      <c r="D241" t="s">
        <v>22</v>
      </c>
      <c r="E241" t="s">
        <v>23</v>
      </c>
      <c r="F241">
        <v>500</v>
      </c>
      <c r="G241" t="s">
        <v>68</v>
      </c>
      <c r="H241" t="s">
        <v>66</v>
      </c>
    </row>
    <row r="242" spans="1:8" x14ac:dyDescent="0.3">
      <c r="A242">
        <v>241</v>
      </c>
      <c r="B242" s="1">
        <v>45770</v>
      </c>
      <c r="C242" s="2">
        <v>0.85138888888888886</v>
      </c>
      <c r="D242" t="s">
        <v>8</v>
      </c>
      <c r="E242" t="s">
        <v>9</v>
      </c>
      <c r="F242">
        <v>500</v>
      </c>
      <c r="G242" t="s">
        <v>67</v>
      </c>
      <c r="H242" t="s">
        <v>66</v>
      </c>
    </row>
    <row r="243" spans="1:8" x14ac:dyDescent="0.3">
      <c r="A243">
        <v>242</v>
      </c>
      <c r="B243" s="1">
        <v>45771</v>
      </c>
      <c r="C243" s="2">
        <v>0.875</v>
      </c>
      <c r="D243" t="s">
        <v>22</v>
      </c>
      <c r="E243" t="s">
        <v>23</v>
      </c>
      <c r="F243">
        <v>1500</v>
      </c>
      <c r="G243" t="s">
        <v>59</v>
      </c>
      <c r="H243" t="s">
        <v>66</v>
      </c>
    </row>
    <row r="244" spans="1:8" x14ac:dyDescent="0.3">
      <c r="A244">
        <v>243</v>
      </c>
      <c r="B244" s="1">
        <v>45771</v>
      </c>
      <c r="C244" s="2">
        <v>0.87708333333333333</v>
      </c>
      <c r="D244" t="s">
        <v>8</v>
      </c>
      <c r="E244" t="s">
        <v>9</v>
      </c>
      <c r="F244">
        <v>1500</v>
      </c>
      <c r="G244" t="s">
        <v>80</v>
      </c>
      <c r="H244" t="s">
        <v>66</v>
      </c>
    </row>
    <row r="245" spans="1:8" x14ac:dyDescent="0.3">
      <c r="A245">
        <v>244</v>
      </c>
      <c r="B245" s="1">
        <v>45771</v>
      </c>
      <c r="C245" s="2">
        <v>0.93680555555555556</v>
      </c>
      <c r="D245" t="s">
        <v>22</v>
      </c>
      <c r="E245" t="s">
        <v>23</v>
      </c>
      <c r="F245">
        <v>500</v>
      </c>
      <c r="G245" t="s">
        <v>68</v>
      </c>
      <c r="H245" t="s">
        <v>66</v>
      </c>
    </row>
    <row r="246" spans="1:8" x14ac:dyDescent="0.3">
      <c r="A246">
        <v>245</v>
      </c>
      <c r="B246" s="1">
        <v>45772</v>
      </c>
      <c r="C246" s="2">
        <v>0.37777777777777777</v>
      </c>
      <c r="D246" t="s">
        <v>22</v>
      </c>
      <c r="E246" t="s">
        <v>23</v>
      </c>
      <c r="F246">
        <v>2000</v>
      </c>
      <c r="G246" t="s">
        <v>81</v>
      </c>
      <c r="H246" t="s">
        <v>66</v>
      </c>
    </row>
    <row r="247" spans="1:8" x14ac:dyDescent="0.3">
      <c r="A247">
        <v>246</v>
      </c>
      <c r="B247" s="1">
        <v>45772</v>
      </c>
      <c r="C247" s="2">
        <v>0.39513888888888887</v>
      </c>
      <c r="D247" t="s">
        <v>8</v>
      </c>
      <c r="E247" t="s">
        <v>9</v>
      </c>
      <c r="F247">
        <v>20</v>
      </c>
      <c r="G247" t="s">
        <v>82</v>
      </c>
      <c r="H247" t="s">
        <v>66</v>
      </c>
    </row>
    <row r="248" spans="1:8" x14ac:dyDescent="0.3">
      <c r="A248">
        <v>247</v>
      </c>
      <c r="B248" s="1">
        <v>45772</v>
      </c>
      <c r="C248" s="2">
        <v>0.49513888888888891</v>
      </c>
      <c r="D248" t="s">
        <v>22</v>
      </c>
      <c r="E248" t="s">
        <v>23</v>
      </c>
      <c r="F248">
        <v>500</v>
      </c>
      <c r="G248" t="s">
        <v>83</v>
      </c>
      <c r="H248" t="s">
        <v>66</v>
      </c>
    </row>
    <row r="249" spans="1:8" x14ac:dyDescent="0.3">
      <c r="A249">
        <v>248</v>
      </c>
      <c r="B249" s="1">
        <v>45772</v>
      </c>
      <c r="C249" s="2">
        <v>0.50902777777777775</v>
      </c>
      <c r="D249" t="s">
        <v>8</v>
      </c>
      <c r="E249" t="s">
        <v>9</v>
      </c>
      <c r="F249">
        <v>4000</v>
      </c>
      <c r="G249" t="s">
        <v>84</v>
      </c>
      <c r="H249" t="s">
        <v>66</v>
      </c>
    </row>
    <row r="250" spans="1:8" x14ac:dyDescent="0.3">
      <c r="A250">
        <v>249</v>
      </c>
      <c r="B250" s="1">
        <v>45772</v>
      </c>
      <c r="C250" s="2">
        <v>0.51875000000000004</v>
      </c>
      <c r="D250" t="s">
        <v>8</v>
      </c>
      <c r="E250" t="s">
        <v>9</v>
      </c>
      <c r="F250">
        <v>8</v>
      </c>
      <c r="G250" t="s">
        <v>29</v>
      </c>
      <c r="H250" t="s">
        <v>66</v>
      </c>
    </row>
    <row r="251" spans="1:8" x14ac:dyDescent="0.3">
      <c r="A251">
        <v>250</v>
      </c>
      <c r="B251" s="1">
        <v>45772</v>
      </c>
      <c r="C251" s="2">
        <v>0.51875000000000004</v>
      </c>
      <c r="D251" t="s">
        <v>8</v>
      </c>
      <c r="E251" t="s">
        <v>9</v>
      </c>
      <c r="F251">
        <v>500</v>
      </c>
      <c r="G251" t="s">
        <v>21</v>
      </c>
      <c r="H251" t="s">
        <v>66</v>
      </c>
    </row>
    <row r="252" spans="1:8" x14ac:dyDescent="0.3">
      <c r="A252">
        <v>251</v>
      </c>
      <c r="B252" s="1">
        <v>45772</v>
      </c>
      <c r="C252" s="2">
        <v>0.54722222222222228</v>
      </c>
      <c r="D252" t="s">
        <v>8</v>
      </c>
      <c r="E252" t="s">
        <v>9</v>
      </c>
      <c r="F252">
        <v>10</v>
      </c>
      <c r="G252" t="s">
        <v>85</v>
      </c>
      <c r="H252" t="s">
        <v>66</v>
      </c>
    </row>
    <row r="253" spans="1:8" x14ac:dyDescent="0.3">
      <c r="A253">
        <v>252</v>
      </c>
      <c r="B253" s="1">
        <v>45772</v>
      </c>
      <c r="C253" s="2">
        <v>0.6430555555555556</v>
      </c>
      <c r="D253" t="s">
        <v>8</v>
      </c>
      <c r="E253" t="s">
        <v>9</v>
      </c>
      <c r="F253">
        <v>120</v>
      </c>
      <c r="G253" t="s">
        <v>86</v>
      </c>
      <c r="H253" t="s">
        <v>66</v>
      </c>
    </row>
    <row r="254" spans="1:8" x14ac:dyDescent="0.3">
      <c r="A254">
        <v>253</v>
      </c>
      <c r="B254" s="1">
        <v>45772</v>
      </c>
      <c r="C254" s="2">
        <v>0.65694444444444444</v>
      </c>
      <c r="D254" t="s">
        <v>22</v>
      </c>
      <c r="E254" t="s">
        <v>23</v>
      </c>
      <c r="F254">
        <v>120</v>
      </c>
      <c r="G254" t="s">
        <v>59</v>
      </c>
      <c r="H254" t="s">
        <v>66</v>
      </c>
    </row>
    <row r="255" spans="1:8" x14ac:dyDescent="0.3">
      <c r="A255">
        <v>254</v>
      </c>
      <c r="B255" s="1">
        <v>45772</v>
      </c>
      <c r="C255" s="2">
        <v>0.92569444444444449</v>
      </c>
      <c r="D255" t="s">
        <v>22</v>
      </c>
      <c r="E255" t="s">
        <v>23</v>
      </c>
      <c r="F255">
        <v>1700</v>
      </c>
      <c r="G255" t="s">
        <v>59</v>
      </c>
      <c r="H255" t="s">
        <v>66</v>
      </c>
    </row>
    <row r="256" spans="1:8" x14ac:dyDescent="0.3">
      <c r="A256">
        <v>255</v>
      </c>
      <c r="B256" s="1">
        <v>45772</v>
      </c>
      <c r="C256" s="2">
        <v>0.9291666666666667</v>
      </c>
      <c r="D256" t="s">
        <v>8</v>
      </c>
      <c r="E256" t="s">
        <v>9</v>
      </c>
      <c r="F256">
        <v>1700</v>
      </c>
      <c r="G256" t="s">
        <v>87</v>
      </c>
      <c r="H256" t="s">
        <v>66</v>
      </c>
    </row>
    <row r="257" spans="1:8" x14ac:dyDescent="0.3">
      <c r="A257">
        <v>256</v>
      </c>
      <c r="B257" s="1">
        <v>45773</v>
      </c>
      <c r="C257" s="2">
        <v>0.47013888888888888</v>
      </c>
      <c r="D257" t="s">
        <v>8</v>
      </c>
      <c r="E257" t="s">
        <v>9</v>
      </c>
      <c r="F257">
        <v>350</v>
      </c>
      <c r="G257" t="s">
        <v>29</v>
      </c>
      <c r="H257" t="s">
        <v>66</v>
      </c>
    </row>
    <row r="258" spans="1:8" x14ac:dyDescent="0.3">
      <c r="A258">
        <v>257</v>
      </c>
      <c r="B258" s="1">
        <v>45773</v>
      </c>
      <c r="C258" s="2">
        <v>0.58194444444444449</v>
      </c>
      <c r="D258" t="s">
        <v>8</v>
      </c>
      <c r="E258" t="s">
        <v>9</v>
      </c>
      <c r="F258">
        <v>500</v>
      </c>
      <c r="G258" t="s">
        <v>68</v>
      </c>
      <c r="H258" t="s">
        <v>66</v>
      </c>
    </row>
    <row r="259" spans="1:8" x14ac:dyDescent="0.3">
      <c r="A259">
        <v>258</v>
      </c>
      <c r="B259" s="1">
        <v>45773</v>
      </c>
      <c r="C259" s="2">
        <v>0.67708333333333337</v>
      </c>
      <c r="D259" t="s">
        <v>8</v>
      </c>
      <c r="E259" t="s">
        <v>9</v>
      </c>
      <c r="F259">
        <v>150</v>
      </c>
      <c r="G259" t="s">
        <v>55</v>
      </c>
      <c r="H259" t="s">
        <v>66</v>
      </c>
    </row>
    <row r="260" spans="1:8" x14ac:dyDescent="0.3">
      <c r="A260">
        <v>259</v>
      </c>
      <c r="B260" s="1">
        <v>45773</v>
      </c>
      <c r="C260" s="2">
        <v>0.68958333333333333</v>
      </c>
      <c r="D260" t="s">
        <v>38</v>
      </c>
      <c r="E260" t="s">
        <v>9</v>
      </c>
      <c r="F260">
        <v>30</v>
      </c>
      <c r="G260" t="s">
        <v>88</v>
      </c>
      <c r="H260" t="s">
        <v>66</v>
      </c>
    </row>
    <row r="261" spans="1:8" x14ac:dyDescent="0.3">
      <c r="A261">
        <v>260</v>
      </c>
      <c r="B261" s="1">
        <v>45773</v>
      </c>
      <c r="C261" s="2">
        <v>0.7895833333333333</v>
      </c>
      <c r="D261" t="s">
        <v>22</v>
      </c>
      <c r="E261" t="s">
        <v>23</v>
      </c>
      <c r="F261">
        <v>350</v>
      </c>
      <c r="G261" t="s">
        <v>10</v>
      </c>
      <c r="H261" t="s">
        <v>66</v>
      </c>
    </row>
    <row r="262" spans="1:8" x14ac:dyDescent="0.3">
      <c r="A262">
        <v>261</v>
      </c>
      <c r="B262" s="1">
        <v>45773</v>
      </c>
      <c r="C262" s="2">
        <v>0.7895833333333333</v>
      </c>
      <c r="D262" t="s">
        <v>22</v>
      </c>
      <c r="E262" t="s">
        <v>23</v>
      </c>
      <c r="F262">
        <v>350</v>
      </c>
      <c r="G262" t="s">
        <v>89</v>
      </c>
      <c r="H262" t="s">
        <v>66</v>
      </c>
    </row>
    <row r="263" spans="1:8" x14ac:dyDescent="0.3">
      <c r="A263">
        <v>262</v>
      </c>
      <c r="B263" s="1">
        <v>45773</v>
      </c>
      <c r="C263" s="2">
        <v>0.80208333333333337</v>
      </c>
      <c r="D263" t="s">
        <v>22</v>
      </c>
      <c r="E263" t="s">
        <v>23</v>
      </c>
      <c r="F263">
        <v>350</v>
      </c>
      <c r="G263" t="s">
        <v>29</v>
      </c>
      <c r="H263" t="s">
        <v>66</v>
      </c>
    </row>
    <row r="264" spans="1:8" x14ac:dyDescent="0.3">
      <c r="A264">
        <v>263</v>
      </c>
      <c r="B264" s="1">
        <v>45773</v>
      </c>
      <c r="C264" s="2">
        <v>0.80347222222222225</v>
      </c>
      <c r="D264" t="s">
        <v>22</v>
      </c>
      <c r="E264" t="s">
        <v>23</v>
      </c>
      <c r="F264">
        <v>1000</v>
      </c>
      <c r="G264" t="s">
        <v>29</v>
      </c>
      <c r="H264" t="s">
        <v>66</v>
      </c>
    </row>
    <row r="265" spans="1:8" x14ac:dyDescent="0.3">
      <c r="A265">
        <v>264</v>
      </c>
      <c r="B265" s="1">
        <v>45773</v>
      </c>
      <c r="C265" s="2">
        <v>0.80555555555555558</v>
      </c>
      <c r="D265" t="s">
        <v>8</v>
      </c>
      <c r="E265" t="s">
        <v>9</v>
      </c>
      <c r="F265">
        <v>900</v>
      </c>
      <c r="G265" t="s">
        <v>73</v>
      </c>
      <c r="H265" t="s">
        <v>66</v>
      </c>
    </row>
    <row r="266" spans="1:8" x14ac:dyDescent="0.3">
      <c r="A266">
        <v>265</v>
      </c>
      <c r="B266" s="1">
        <v>45773</v>
      </c>
      <c r="C266" s="2">
        <v>0.81458333333333333</v>
      </c>
      <c r="D266" t="s">
        <v>8</v>
      </c>
      <c r="E266" t="s">
        <v>9</v>
      </c>
      <c r="F266">
        <v>60</v>
      </c>
      <c r="G266" t="s">
        <v>61</v>
      </c>
      <c r="H266" t="s">
        <v>66</v>
      </c>
    </row>
    <row r="267" spans="1:8" x14ac:dyDescent="0.3">
      <c r="A267">
        <v>266</v>
      </c>
      <c r="B267" s="1">
        <v>45773</v>
      </c>
      <c r="C267" s="2">
        <v>0.84305555555555556</v>
      </c>
      <c r="D267" t="s">
        <v>8</v>
      </c>
      <c r="E267" t="s">
        <v>9</v>
      </c>
      <c r="F267">
        <v>2000</v>
      </c>
      <c r="G267" t="s">
        <v>87</v>
      </c>
      <c r="H267" t="s">
        <v>66</v>
      </c>
    </row>
    <row r="268" spans="1:8" x14ac:dyDescent="0.3">
      <c r="A268">
        <v>267</v>
      </c>
      <c r="B268" s="1">
        <v>45773</v>
      </c>
      <c r="C268" s="2">
        <v>0.9375</v>
      </c>
      <c r="D268" t="s">
        <v>8</v>
      </c>
      <c r="E268" t="s">
        <v>9</v>
      </c>
      <c r="F268">
        <v>50</v>
      </c>
      <c r="G268" t="s">
        <v>26</v>
      </c>
      <c r="H268" t="s">
        <v>66</v>
      </c>
    </row>
    <row r="269" spans="1:8" x14ac:dyDescent="0.3">
      <c r="A269">
        <v>268</v>
      </c>
      <c r="B269" s="1">
        <v>45774</v>
      </c>
      <c r="C269" s="2">
        <v>0.5805555555555556</v>
      </c>
      <c r="D269" t="s">
        <v>8</v>
      </c>
      <c r="E269" t="s">
        <v>9</v>
      </c>
      <c r="F269">
        <v>2850</v>
      </c>
      <c r="G269" t="s">
        <v>68</v>
      </c>
      <c r="H269" t="s">
        <v>66</v>
      </c>
    </row>
    <row r="270" spans="1:8" x14ac:dyDescent="0.3">
      <c r="A270">
        <v>269</v>
      </c>
      <c r="B270" s="1">
        <v>45774</v>
      </c>
      <c r="C270" s="2">
        <v>0.85763888888888884</v>
      </c>
      <c r="D270" t="s">
        <v>22</v>
      </c>
      <c r="E270" t="s">
        <v>23</v>
      </c>
      <c r="F270">
        <v>2500</v>
      </c>
      <c r="G270" t="s">
        <v>90</v>
      </c>
      <c r="H270" t="s">
        <v>66</v>
      </c>
    </row>
    <row r="271" spans="1:8" x14ac:dyDescent="0.3">
      <c r="A271">
        <v>270</v>
      </c>
      <c r="B271" s="1">
        <v>45774</v>
      </c>
      <c r="C271" s="2">
        <v>0.86111111111111116</v>
      </c>
      <c r="D271" t="s">
        <v>8</v>
      </c>
      <c r="E271" t="s">
        <v>9</v>
      </c>
      <c r="F271">
        <v>2000</v>
      </c>
      <c r="G271" t="s">
        <v>91</v>
      </c>
      <c r="H271" t="s">
        <v>66</v>
      </c>
    </row>
    <row r="272" spans="1:8" x14ac:dyDescent="0.3">
      <c r="A272">
        <v>271</v>
      </c>
      <c r="B272" s="1">
        <v>45775</v>
      </c>
      <c r="C272" s="2">
        <v>0.47638888888888886</v>
      </c>
      <c r="D272" t="s">
        <v>22</v>
      </c>
      <c r="E272" t="s">
        <v>23</v>
      </c>
      <c r="F272">
        <v>1000</v>
      </c>
      <c r="G272" t="s">
        <v>92</v>
      </c>
      <c r="H272" t="s">
        <v>66</v>
      </c>
    </row>
    <row r="273" spans="1:8" x14ac:dyDescent="0.3">
      <c r="A273">
        <v>272</v>
      </c>
      <c r="B273" s="1">
        <v>45775</v>
      </c>
      <c r="C273" s="2">
        <v>0.47638888888888886</v>
      </c>
      <c r="D273" t="s">
        <v>8</v>
      </c>
      <c r="E273" t="s">
        <v>9</v>
      </c>
      <c r="F273">
        <v>1000</v>
      </c>
      <c r="G273" t="s">
        <v>29</v>
      </c>
      <c r="H273" t="s">
        <v>66</v>
      </c>
    </row>
    <row r="274" spans="1:8" x14ac:dyDescent="0.3">
      <c r="A274">
        <v>273</v>
      </c>
      <c r="B274" s="1">
        <v>45775</v>
      </c>
      <c r="C274" s="2">
        <v>0.67222222222222228</v>
      </c>
      <c r="D274" t="s">
        <v>22</v>
      </c>
      <c r="E274" t="s">
        <v>23</v>
      </c>
      <c r="F274">
        <v>20000</v>
      </c>
      <c r="G274" t="s">
        <v>30</v>
      </c>
      <c r="H274" t="s">
        <v>66</v>
      </c>
    </row>
    <row r="275" spans="1:8" x14ac:dyDescent="0.3">
      <c r="A275">
        <v>274</v>
      </c>
      <c r="B275" s="1">
        <v>45775</v>
      </c>
      <c r="C275" s="2">
        <v>0.67291666666666672</v>
      </c>
      <c r="D275" t="s">
        <v>22</v>
      </c>
      <c r="E275" t="s">
        <v>23</v>
      </c>
      <c r="F275">
        <v>5000</v>
      </c>
      <c r="G275" t="s">
        <v>30</v>
      </c>
      <c r="H275" t="s">
        <v>66</v>
      </c>
    </row>
    <row r="276" spans="1:8" x14ac:dyDescent="0.3">
      <c r="A276">
        <v>275</v>
      </c>
      <c r="B276" s="1">
        <v>45775</v>
      </c>
      <c r="C276" s="2">
        <v>0.67777777777777781</v>
      </c>
      <c r="D276" t="s">
        <v>8</v>
      </c>
      <c r="E276" t="s">
        <v>9</v>
      </c>
      <c r="F276">
        <v>25000</v>
      </c>
      <c r="G276" t="s">
        <v>21</v>
      </c>
      <c r="H276" t="s">
        <v>66</v>
      </c>
    </row>
    <row r="277" spans="1:8" x14ac:dyDescent="0.3">
      <c r="A277">
        <v>276</v>
      </c>
      <c r="B277" s="1">
        <v>45775</v>
      </c>
      <c r="C277" s="2">
        <v>0.81319444444444444</v>
      </c>
      <c r="D277" t="s">
        <v>8</v>
      </c>
      <c r="E277" t="s">
        <v>9</v>
      </c>
      <c r="F277">
        <v>2000</v>
      </c>
      <c r="G277" t="s">
        <v>68</v>
      </c>
      <c r="H277" t="s">
        <v>66</v>
      </c>
    </row>
    <row r="278" spans="1:8" x14ac:dyDescent="0.3">
      <c r="A278">
        <v>277</v>
      </c>
      <c r="B278" s="1">
        <v>45776</v>
      </c>
      <c r="C278" s="2">
        <v>0.42291666666666666</v>
      </c>
      <c r="D278" t="s">
        <v>22</v>
      </c>
      <c r="E278" t="s">
        <v>23</v>
      </c>
      <c r="F278">
        <v>7000</v>
      </c>
      <c r="G278" t="s">
        <v>30</v>
      </c>
      <c r="H278" t="s">
        <v>66</v>
      </c>
    </row>
    <row r="279" spans="1:8" x14ac:dyDescent="0.3">
      <c r="A279">
        <v>278</v>
      </c>
      <c r="B279" s="1">
        <v>45776</v>
      </c>
      <c r="C279" s="2">
        <v>0.42430555555555555</v>
      </c>
      <c r="D279" t="s">
        <v>8</v>
      </c>
      <c r="E279" t="s">
        <v>9</v>
      </c>
      <c r="F279">
        <v>351</v>
      </c>
      <c r="G279" t="s">
        <v>21</v>
      </c>
      <c r="H279" t="s">
        <v>66</v>
      </c>
    </row>
    <row r="280" spans="1:8" x14ac:dyDescent="0.3">
      <c r="A280">
        <v>279</v>
      </c>
      <c r="B280" s="1">
        <v>45776</v>
      </c>
      <c r="C280" s="2">
        <v>0.42430555555555555</v>
      </c>
      <c r="D280" t="s">
        <v>8</v>
      </c>
      <c r="E280" t="s">
        <v>9</v>
      </c>
      <c r="F280">
        <v>7000</v>
      </c>
      <c r="G280" t="s">
        <v>21</v>
      </c>
      <c r="H280" t="s">
        <v>66</v>
      </c>
    </row>
    <row r="281" spans="1:8" x14ac:dyDescent="0.3">
      <c r="A281">
        <v>280</v>
      </c>
      <c r="B281" s="1">
        <v>45776</v>
      </c>
      <c r="C281" s="2">
        <v>0.42430555555555555</v>
      </c>
      <c r="D281" t="s">
        <v>22</v>
      </c>
      <c r="E281" t="s">
        <v>23</v>
      </c>
      <c r="F281">
        <v>351</v>
      </c>
      <c r="G281" t="s">
        <v>30</v>
      </c>
      <c r="H281" t="s">
        <v>66</v>
      </c>
    </row>
    <row r="282" spans="1:8" x14ac:dyDescent="0.3">
      <c r="A282">
        <v>281</v>
      </c>
      <c r="B282" s="1">
        <v>45777</v>
      </c>
      <c r="C282" s="2">
        <v>0.33541666666666664</v>
      </c>
      <c r="D282" t="s">
        <v>8</v>
      </c>
      <c r="E282" t="s">
        <v>9</v>
      </c>
      <c r="F282">
        <v>1000</v>
      </c>
      <c r="G282" t="s">
        <v>93</v>
      </c>
      <c r="H282" t="s">
        <v>66</v>
      </c>
    </row>
    <row r="283" spans="1:8" x14ac:dyDescent="0.3">
      <c r="A283">
        <v>282</v>
      </c>
      <c r="B283" s="1">
        <v>45777</v>
      </c>
      <c r="C283" s="2">
        <v>0.33819444444444446</v>
      </c>
      <c r="D283" t="s">
        <v>8</v>
      </c>
      <c r="E283" t="s">
        <v>9</v>
      </c>
      <c r="F283">
        <v>1000</v>
      </c>
      <c r="G283" t="s">
        <v>47</v>
      </c>
      <c r="H283" t="s">
        <v>66</v>
      </c>
    </row>
    <row r="284" spans="1:8" x14ac:dyDescent="0.3">
      <c r="A284">
        <v>283</v>
      </c>
      <c r="B284" s="1">
        <v>45777</v>
      </c>
      <c r="C284" s="2">
        <v>0.34027777777777779</v>
      </c>
      <c r="D284" t="s">
        <v>22</v>
      </c>
      <c r="E284" t="s">
        <v>23</v>
      </c>
      <c r="F284">
        <v>1000</v>
      </c>
      <c r="G284" t="s">
        <v>94</v>
      </c>
      <c r="H284" t="s">
        <v>66</v>
      </c>
    </row>
    <row r="285" spans="1:8" x14ac:dyDescent="0.3">
      <c r="A285">
        <v>284</v>
      </c>
      <c r="B285" s="1">
        <v>45777</v>
      </c>
      <c r="C285" s="2">
        <v>0.71666666666666667</v>
      </c>
      <c r="D285" t="s">
        <v>8</v>
      </c>
      <c r="E285" t="s">
        <v>9</v>
      </c>
      <c r="F285">
        <v>1000</v>
      </c>
      <c r="G285" t="s">
        <v>21</v>
      </c>
      <c r="H285" t="s">
        <v>66</v>
      </c>
    </row>
    <row r="286" spans="1:8" x14ac:dyDescent="0.3">
      <c r="A286">
        <v>285</v>
      </c>
      <c r="B286" s="1">
        <v>45777</v>
      </c>
      <c r="C286" s="2">
        <v>0.71805555555555556</v>
      </c>
      <c r="D286" t="s">
        <v>8</v>
      </c>
      <c r="E286" t="s">
        <v>9</v>
      </c>
      <c r="F286">
        <v>500</v>
      </c>
      <c r="G286" t="s">
        <v>47</v>
      </c>
      <c r="H286" t="s">
        <v>66</v>
      </c>
    </row>
    <row r="287" spans="1:8" x14ac:dyDescent="0.3">
      <c r="A287">
        <v>286</v>
      </c>
      <c r="B287" s="1">
        <v>45777</v>
      </c>
      <c r="C287" s="2">
        <v>0.72847222222222219</v>
      </c>
      <c r="D287" t="s">
        <v>22</v>
      </c>
      <c r="E287" t="s">
        <v>23</v>
      </c>
      <c r="F287">
        <v>65</v>
      </c>
      <c r="G287" t="s">
        <v>33</v>
      </c>
      <c r="H287" t="s">
        <v>66</v>
      </c>
    </row>
    <row r="288" spans="1:8" x14ac:dyDescent="0.3">
      <c r="A288">
        <v>287</v>
      </c>
      <c r="B288" s="1">
        <v>45777</v>
      </c>
      <c r="C288" s="2">
        <v>0.72847222222222219</v>
      </c>
      <c r="D288" t="s">
        <v>22</v>
      </c>
      <c r="E288" t="s">
        <v>23</v>
      </c>
      <c r="F288">
        <v>65</v>
      </c>
      <c r="G288" t="s">
        <v>10</v>
      </c>
      <c r="H288" t="s">
        <v>66</v>
      </c>
    </row>
    <row r="289" spans="1:8" x14ac:dyDescent="0.3">
      <c r="A289">
        <v>288</v>
      </c>
      <c r="B289" s="1">
        <v>45778</v>
      </c>
      <c r="C289" s="2">
        <v>0.41666666666666669</v>
      </c>
      <c r="D289" t="s">
        <v>8</v>
      </c>
      <c r="E289" t="s">
        <v>9</v>
      </c>
      <c r="F289">
        <v>500</v>
      </c>
      <c r="G289" t="s">
        <v>95</v>
      </c>
      <c r="H289" t="s">
        <v>96</v>
      </c>
    </row>
    <row r="290" spans="1:8" x14ac:dyDescent="0.3">
      <c r="A290">
        <v>289</v>
      </c>
      <c r="B290" s="1">
        <v>45778</v>
      </c>
      <c r="C290" s="2">
        <v>0.72569444444444442</v>
      </c>
      <c r="D290" t="s">
        <v>22</v>
      </c>
      <c r="E290" t="s">
        <v>23</v>
      </c>
      <c r="F290">
        <v>50</v>
      </c>
      <c r="G290" t="s">
        <v>33</v>
      </c>
      <c r="H290" t="s">
        <v>96</v>
      </c>
    </row>
    <row r="291" spans="1:8" x14ac:dyDescent="0.3">
      <c r="A291">
        <v>290</v>
      </c>
      <c r="B291" s="1">
        <v>45778</v>
      </c>
      <c r="C291" s="2">
        <v>0.72638888888888886</v>
      </c>
      <c r="D291" t="s">
        <v>22</v>
      </c>
      <c r="E291" t="s">
        <v>23</v>
      </c>
      <c r="F291">
        <v>50</v>
      </c>
      <c r="G291" t="s">
        <v>35</v>
      </c>
      <c r="H291" t="s">
        <v>96</v>
      </c>
    </row>
    <row r="292" spans="1:8" x14ac:dyDescent="0.3">
      <c r="A292">
        <v>291</v>
      </c>
      <c r="B292" s="1">
        <v>45778</v>
      </c>
      <c r="C292" s="2">
        <v>0.72638888888888886</v>
      </c>
      <c r="D292" t="s">
        <v>22</v>
      </c>
      <c r="E292" t="s">
        <v>23</v>
      </c>
      <c r="F292">
        <v>50</v>
      </c>
      <c r="G292" t="s">
        <v>10</v>
      </c>
      <c r="H292" t="s">
        <v>96</v>
      </c>
    </row>
    <row r="293" spans="1:8" x14ac:dyDescent="0.3">
      <c r="A293">
        <v>292</v>
      </c>
      <c r="B293" s="1">
        <v>45778</v>
      </c>
      <c r="C293" s="2">
        <v>0.76458333333333328</v>
      </c>
      <c r="D293" t="s">
        <v>22</v>
      </c>
      <c r="E293" t="s">
        <v>23</v>
      </c>
      <c r="F293">
        <v>89</v>
      </c>
      <c r="G293" t="s">
        <v>29</v>
      </c>
      <c r="H293" t="s">
        <v>96</v>
      </c>
    </row>
    <row r="294" spans="1:8" x14ac:dyDescent="0.3">
      <c r="A294">
        <v>293</v>
      </c>
      <c r="B294" s="1">
        <v>45778</v>
      </c>
      <c r="C294" s="2">
        <v>0.77013888888888893</v>
      </c>
      <c r="D294" t="s">
        <v>8</v>
      </c>
      <c r="E294" t="s">
        <v>9</v>
      </c>
      <c r="F294">
        <v>340</v>
      </c>
      <c r="G294" t="s">
        <v>73</v>
      </c>
      <c r="H294" t="s">
        <v>96</v>
      </c>
    </row>
    <row r="295" spans="1:8" x14ac:dyDescent="0.3">
      <c r="A295">
        <v>294</v>
      </c>
      <c r="B295" s="1">
        <v>45778</v>
      </c>
      <c r="C295" s="2">
        <v>0.79097222222222219</v>
      </c>
      <c r="D295" t="s">
        <v>8</v>
      </c>
      <c r="E295" t="s">
        <v>9</v>
      </c>
      <c r="F295">
        <v>10</v>
      </c>
      <c r="G295" t="s">
        <v>97</v>
      </c>
      <c r="H295" t="s">
        <v>96</v>
      </c>
    </row>
    <row r="296" spans="1:8" x14ac:dyDescent="0.3">
      <c r="A296">
        <v>295</v>
      </c>
      <c r="B296" s="1">
        <v>45779</v>
      </c>
      <c r="C296" s="2">
        <v>0.37291666666666667</v>
      </c>
      <c r="D296" t="s">
        <v>22</v>
      </c>
      <c r="E296" t="s">
        <v>23</v>
      </c>
      <c r="F296">
        <v>2000</v>
      </c>
      <c r="G296" t="s">
        <v>59</v>
      </c>
      <c r="H296" t="s">
        <v>96</v>
      </c>
    </row>
    <row r="297" spans="1:8" x14ac:dyDescent="0.3">
      <c r="A297">
        <v>296</v>
      </c>
      <c r="B297" s="1">
        <v>45779</v>
      </c>
      <c r="C297" s="2">
        <v>0.37569444444444444</v>
      </c>
      <c r="D297" t="s">
        <v>16</v>
      </c>
      <c r="E297" t="s">
        <v>9</v>
      </c>
      <c r="F297">
        <v>1000</v>
      </c>
      <c r="G297" t="s">
        <v>17</v>
      </c>
      <c r="H297" t="s">
        <v>96</v>
      </c>
    </row>
    <row r="298" spans="1:8" x14ac:dyDescent="0.3">
      <c r="A298">
        <v>297</v>
      </c>
      <c r="B298" s="1">
        <v>45779</v>
      </c>
      <c r="C298" s="2">
        <v>0.76180555555555551</v>
      </c>
      <c r="D298" t="s">
        <v>8</v>
      </c>
      <c r="E298" t="s">
        <v>9</v>
      </c>
      <c r="F298">
        <v>6</v>
      </c>
      <c r="G298" t="s">
        <v>24</v>
      </c>
      <c r="H298" t="s">
        <v>96</v>
      </c>
    </row>
    <row r="299" spans="1:8" x14ac:dyDescent="0.3">
      <c r="A299">
        <v>298</v>
      </c>
      <c r="B299" s="1">
        <v>45779</v>
      </c>
      <c r="C299" s="2">
        <v>0.93680555555555556</v>
      </c>
      <c r="D299" t="s">
        <v>8</v>
      </c>
      <c r="E299" t="s">
        <v>9</v>
      </c>
      <c r="F299">
        <v>1000</v>
      </c>
      <c r="G299" t="s">
        <v>29</v>
      </c>
      <c r="H299" t="s">
        <v>96</v>
      </c>
    </row>
    <row r="300" spans="1:8" x14ac:dyDescent="0.3">
      <c r="A300">
        <v>299</v>
      </c>
      <c r="B300" s="1">
        <v>45779</v>
      </c>
      <c r="C300" s="2">
        <v>0.94166666666666665</v>
      </c>
      <c r="D300" t="s">
        <v>22</v>
      </c>
      <c r="E300" t="s">
        <v>23</v>
      </c>
      <c r="F300">
        <v>500</v>
      </c>
      <c r="G300" t="s">
        <v>59</v>
      </c>
      <c r="H300" t="s">
        <v>96</v>
      </c>
    </row>
    <row r="301" spans="1:8" x14ac:dyDescent="0.3">
      <c r="A301">
        <v>300</v>
      </c>
      <c r="B301" s="1">
        <v>45779</v>
      </c>
      <c r="C301" s="2">
        <v>0.99097222222222225</v>
      </c>
      <c r="D301" t="s">
        <v>22</v>
      </c>
      <c r="E301" t="s">
        <v>23</v>
      </c>
      <c r="F301">
        <v>500</v>
      </c>
      <c r="G301" t="s">
        <v>95</v>
      </c>
      <c r="H301" t="s">
        <v>96</v>
      </c>
    </row>
    <row r="302" spans="1:8" x14ac:dyDescent="0.3">
      <c r="A302">
        <v>301</v>
      </c>
      <c r="B302" s="1">
        <v>45780</v>
      </c>
      <c r="C302" s="2">
        <v>0.7631944444444444</v>
      </c>
      <c r="D302" t="s">
        <v>22</v>
      </c>
      <c r="E302" t="s">
        <v>23</v>
      </c>
      <c r="F302">
        <v>500</v>
      </c>
      <c r="G302" t="s">
        <v>59</v>
      </c>
      <c r="H302" t="s">
        <v>96</v>
      </c>
    </row>
    <row r="303" spans="1:8" x14ac:dyDescent="0.3">
      <c r="A303">
        <v>302</v>
      </c>
      <c r="B303" s="1">
        <v>45780</v>
      </c>
      <c r="C303" s="2">
        <v>0.79513888888888884</v>
      </c>
      <c r="D303" t="s">
        <v>16</v>
      </c>
      <c r="E303" t="s">
        <v>9</v>
      </c>
      <c r="F303">
        <v>1000</v>
      </c>
      <c r="G303" t="s">
        <v>17</v>
      </c>
      <c r="H303" t="s">
        <v>96</v>
      </c>
    </row>
    <row r="304" spans="1:8" x14ac:dyDescent="0.3">
      <c r="A304">
        <v>303</v>
      </c>
      <c r="B304" s="1">
        <v>45780</v>
      </c>
      <c r="C304" s="2">
        <v>0.79583333333333328</v>
      </c>
      <c r="D304" t="s">
        <v>8</v>
      </c>
      <c r="E304" t="s">
        <v>9</v>
      </c>
      <c r="F304">
        <v>500</v>
      </c>
      <c r="G304" t="s">
        <v>21</v>
      </c>
      <c r="H304" t="s">
        <v>96</v>
      </c>
    </row>
    <row r="305" spans="1:8" x14ac:dyDescent="0.3">
      <c r="A305">
        <v>304</v>
      </c>
      <c r="B305" s="1">
        <v>45780</v>
      </c>
      <c r="C305" s="2">
        <v>0.79583333333333328</v>
      </c>
      <c r="D305" t="s">
        <v>16</v>
      </c>
      <c r="E305" t="s">
        <v>9</v>
      </c>
      <c r="F305">
        <v>500</v>
      </c>
      <c r="G305" t="s">
        <v>17</v>
      </c>
      <c r="H305" t="s">
        <v>96</v>
      </c>
    </row>
    <row r="306" spans="1:8" x14ac:dyDescent="0.3">
      <c r="A306">
        <v>305</v>
      </c>
      <c r="B306" s="1">
        <v>45780</v>
      </c>
      <c r="C306" s="2">
        <v>0.89236111111111116</v>
      </c>
      <c r="D306" t="s">
        <v>8</v>
      </c>
      <c r="E306" t="s">
        <v>9</v>
      </c>
      <c r="F306">
        <v>500</v>
      </c>
      <c r="G306" t="s">
        <v>98</v>
      </c>
      <c r="H306" t="s">
        <v>96</v>
      </c>
    </row>
    <row r="307" spans="1:8" x14ac:dyDescent="0.3">
      <c r="A307">
        <v>306</v>
      </c>
      <c r="B307" s="1">
        <v>45781</v>
      </c>
      <c r="C307" s="2">
        <v>0.86527777777777781</v>
      </c>
      <c r="D307" t="s">
        <v>8</v>
      </c>
      <c r="E307" t="s">
        <v>9</v>
      </c>
      <c r="F307">
        <v>6000</v>
      </c>
      <c r="G307" t="s">
        <v>68</v>
      </c>
      <c r="H307" t="s">
        <v>96</v>
      </c>
    </row>
    <row r="308" spans="1:8" x14ac:dyDescent="0.3">
      <c r="A308">
        <v>307</v>
      </c>
      <c r="B308" s="1">
        <v>45782</v>
      </c>
      <c r="C308" s="2">
        <v>0.51249999999999996</v>
      </c>
      <c r="D308" t="s">
        <v>8</v>
      </c>
      <c r="E308" t="s">
        <v>9</v>
      </c>
      <c r="F308">
        <v>1000</v>
      </c>
      <c r="G308" t="s">
        <v>82</v>
      </c>
      <c r="H308" t="s">
        <v>96</v>
      </c>
    </row>
    <row r="309" spans="1:8" x14ac:dyDescent="0.3">
      <c r="A309">
        <v>308</v>
      </c>
      <c r="B309" s="1">
        <v>45782</v>
      </c>
      <c r="C309" s="2">
        <v>0.65625</v>
      </c>
      <c r="D309" t="s">
        <v>8</v>
      </c>
      <c r="E309" t="s">
        <v>9</v>
      </c>
      <c r="F309">
        <v>50</v>
      </c>
      <c r="G309" t="s">
        <v>55</v>
      </c>
      <c r="H309" t="s">
        <v>96</v>
      </c>
    </row>
    <row r="310" spans="1:8" x14ac:dyDescent="0.3">
      <c r="A310">
        <v>309</v>
      </c>
      <c r="B310" s="1">
        <v>45782</v>
      </c>
      <c r="C310" s="2">
        <v>0.82152777777777775</v>
      </c>
      <c r="D310" t="s">
        <v>8</v>
      </c>
      <c r="E310" t="s">
        <v>9</v>
      </c>
      <c r="F310">
        <v>100</v>
      </c>
      <c r="G310" t="s">
        <v>99</v>
      </c>
      <c r="H310" t="s">
        <v>96</v>
      </c>
    </row>
    <row r="311" spans="1:8" x14ac:dyDescent="0.3">
      <c r="A311">
        <v>310</v>
      </c>
      <c r="B311" s="1">
        <v>45783</v>
      </c>
      <c r="C311" s="2">
        <v>0.81111111111111112</v>
      </c>
      <c r="D311" t="s">
        <v>8</v>
      </c>
      <c r="E311" t="s">
        <v>9</v>
      </c>
      <c r="F311">
        <v>4000</v>
      </c>
      <c r="G311" t="s">
        <v>99</v>
      </c>
      <c r="H311" t="s">
        <v>96</v>
      </c>
    </row>
    <row r="312" spans="1:8" x14ac:dyDescent="0.3">
      <c r="A312">
        <v>311</v>
      </c>
      <c r="B312" s="1">
        <v>45783</v>
      </c>
      <c r="C312" s="2">
        <v>0.87291666666666667</v>
      </c>
      <c r="D312" t="s">
        <v>8</v>
      </c>
      <c r="E312" t="s">
        <v>9</v>
      </c>
      <c r="F312">
        <v>1000</v>
      </c>
      <c r="G312" t="s">
        <v>47</v>
      </c>
      <c r="H312" t="s">
        <v>96</v>
      </c>
    </row>
    <row r="313" spans="1:8" x14ac:dyDescent="0.3">
      <c r="A313">
        <v>312</v>
      </c>
      <c r="B313" s="1">
        <v>45783</v>
      </c>
      <c r="C313" s="2">
        <v>0.87708333333333333</v>
      </c>
      <c r="D313" t="s">
        <v>8</v>
      </c>
      <c r="E313" t="s">
        <v>9</v>
      </c>
      <c r="F313">
        <v>1000</v>
      </c>
      <c r="G313" t="s">
        <v>21</v>
      </c>
      <c r="H313" t="s">
        <v>96</v>
      </c>
    </row>
    <row r="314" spans="1:8" x14ac:dyDescent="0.3">
      <c r="A314">
        <v>313</v>
      </c>
      <c r="B314" s="1">
        <v>45783</v>
      </c>
      <c r="C314" s="2">
        <v>0.91319444444444442</v>
      </c>
      <c r="D314" t="s">
        <v>16</v>
      </c>
      <c r="E314" t="s">
        <v>9</v>
      </c>
      <c r="F314">
        <v>1000</v>
      </c>
      <c r="G314" t="s">
        <v>17</v>
      </c>
      <c r="H314" t="s">
        <v>96</v>
      </c>
    </row>
    <row r="315" spans="1:8" x14ac:dyDescent="0.3">
      <c r="A315">
        <v>314</v>
      </c>
      <c r="B315" s="1">
        <v>45783</v>
      </c>
      <c r="C315" s="2">
        <v>0.9145833333333333</v>
      </c>
      <c r="D315" t="s">
        <v>8</v>
      </c>
      <c r="E315" t="s">
        <v>9</v>
      </c>
      <c r="F315">
        <v>200</v>
      </c>
      <c r="G315" t="s">
        <v>20</v>
      </c>
      <c r="H315" t="s">
        <v>96</v>
      </c>
    </row>
    <row r="316" spans="1:8" x14ac:dyDescent="0.3">
      <c r="A316">
        <v>315</v>
      </c>
      <c r="B316" s="1">
        <v>45783</v>
      </c>
      <c r="C316" s="2">
        <v>0.9770833333333333</v>
      </c>
      <c r="D316" t="s">
        <v>22</v>
      </c>
      <c r="E316" t="s">
        <v>23</v>
      </c>
      <c r="F316">
        <v>500</v>
      </c>
      <c r="G316" t="s">
        <v>59</v>
      </c>
      <c r="H316" t="s">
        <v>96</v>
      </c>
    </row>
    <row r="317" spans="1:8" x14ac:dyDescent="0.3">
      <c r="A317">
        <v>316</v>
      </c>
      <c r="B317" s="1">
        <v>45783</v>
      </c>
      <c r="C317" s="2">
        <v>0.97847222222222219</v>
      </c>
      <c r="D317" t="s">
        <v>8</v>
      </c>
      <c r="E317" t="s">
        <v>9</v>
      </c>
      <c r="F317">
        <v>500</v>
      </c>
      <c r="G317" t="s">
        <v>68</v>
      </c>
      <c r="H317" t="s">
        <v>96</v>
      </c>
    </row>
    <row r="318" spans="1:8" x14ac:dyDescent="0.3">
      <c r="A318">
        <v>317</v>
      </c>
      <c r="B318" s="1">
        <v>45784</v>
      </c>
      <c r="C318" s="2">
        <v>0.46805555555555556</v>
      </c>
      <c r="D318" t="s">
        <v>8</v>
      </c>
      <c r="E318" t="s">
        <v>9</v>
      </c>
      <c r="F318">
        <v>1000</v>
      </c>
      <c r="G318" t="s">
        <v>47</v>
      </c>
      <c r="H318" t="s">
        <v>96</v>
      </c>
    </row>
    <row r="319" spans="1:8" x14ac:dyDescent="0.3">
      <c r="A319">
        <v>318</v>
      </c>
      <c r="B319" s="1">
        <v>45784</v>
      </c>
      <c r="C319" s="2">
        <v>0.47222222222222221</v>
      </c>
      <c r="D319" t="s">
        <v>22</v>
      </c>
      <c r="E319" t="s">
        <v>23</v>
      </c>
      <c r="F319">
        <v>1000</v>
      </c>
      <c r="G319" t="s">
        <v>95</v>
      </c>
      <c r="H319" t="s">
        <v>96</v>
      </c>
    </row>
    <row r="320" spans="1:8" x14ac:dyDescent="0.3">
      <c r="A320">
        <v>319</v>
      </c>
      <c r="B320" s="1">
        <v>45784</v>
      </c>
      <c r="C320" s="2">
        <v>0.59722222222222221</v>
      </c>
      <c r="D320" t="s">
        <v>16</v>
      </c>
      <c r="E320" t="s">
        <v>9</v>
      </c>
      <c r="F320">
        <v>1000</v>
      </c>
      <c r="G320" t="s">
        <v>17</v>
      </c>
      <c r="H320" t="s">
        <v>96</v>
      </c>
    </row>
    <row r="321" spans="1:8" x14ac:dyDescent="0.3">
      <c r="A321">
        <v>320</v>
      </c>
      <c r="B321" s="1">
        <v>45785</v>
      </c>
      <c r="C321" s="2">
        <v>0.59236111111111112</v>
      </c>
      <c r="D321" t="s">
        <v>8</v>
      </c>
      <c r="E321" t="s">
        <v>9</v>
      </c>
      <c r="F321">
        <v>3500</v>
      </c>
      <c r="G321" t="s">
        <v>95</v>
      </c>
      <c r="H321" t="s">
        <v>96</v>
      </c>
    </row>
    <row r="322" spans="1:8" x14ac:dyDescent="0.3">
      <c r="A322">
        <v>321</v>
      </c>
      <c r="B322" s="1">
        <v>45785</v>
      </c>
      <c r="C322" s="2">
        <v>0.87708333333333333</v>
      </c>
      <c r="D322" t="s">
        <v>8</v>
      </c>
      <c r="E322" t="s">
        <v>9</v>
      </c>
      <c r="F322">
        <v>500</v>
      </c>
      <c r="G322" t="s">
        <v>100</v>
      </c>
      <c r="H322" t="s">
        <v>96</v>
      </c>
    </row>
    <row r="323" spans="1:8" x14ac:dyDescent="0.3">
      <c r="A323">
        <v>322</v>
      </c>
      <c r="B323" s="1">
        <v>45785</v>
      </c>
      <c r="C323" s="2">
        <v>0.8930555555555556</v>
      </c>
      <c r="D323" t="s">
        <v>22</v>
      </c>
      <c r="E323" t="s">
        <v>23</v>
      </c>
      <c r="F323">
        <v>3500</v>
      </c>
      <c r="G323" t="s">
        <v>95</v>
      </c>
      <c r="H323" t="s">
        <v>96</v>
      </c>
    </row>
    <row r="324" spans="1:8" x14ac:dyDescent="0.3">
      <c r="A324">
        <v>323</v>
      </c>
      <c r="B324" s="1">
        <v>45785</v>
      </c>
      <c r="C324" s="2">
        <v>0.91874999999999996</v>
      </c>
      <c r="D324" t="s">
        <v>22</v>
      </c>
      <c r="E324" t="s">
        <v>23</v>
      </c>
      <c r="F324">
        <v>500</v>
      </c>
      <c r="G324" t="s">
        <v>47</v>
      </c>
      <c r="H324" t="s">
        <v>96</v>
      </c>
    </row>
    <row r="325" spans="1:8" x14ac:dyDescent="0.3">
      <c r="A325">
        <v>324</v>
      </c>
      <c r="B325" s="1">
        <v>45786</v>
      </c>
      <c r="C325" s="2">
        <v>0.39930555555555558</v>
      </c>
      <c r="D325" t="s">
        <v>8</v>
      </c>
      <c r="E325" t="s">
        <v>9</v>
      </c>
      <c r="F325">
        <v>3500</v>
      </c>
      <c r="G325" t="s">
        <v>21</v>
      </c>
      <c r="H325" t="s">
        <v>96</v>
      </c>
    </row>
    <row r="326" spans="1:8" x14ac:dyDescent="0.3">
      <c r="A326">
        <v>325</v>
      </c>
      <c r="B326" s="1">
        <v>45786</v>
      </c>
      <c r="C326" s="2">
        <v>0.4</v>
      </c>
      <c r="D326" t="s">
        <v>8</v>
      </c>
      <c r="E326" t="s">
        <v>9</v>
      </c>
      <c r="F326">
        <v>26</v>
      </c>
      <c r="G326" t="s">
        <v>33</v>
      </c>
      <c r="H326" t="s">
        <v>96</v>
      </c>
    </row>
    <row r="327" spans="1:8" x14ac:dyDescent="0.3">
      <c r="A327">
        <v>326</v>
      </c>
      <c r="B327" s="1">
        <v>45786</v>
      </c>
      <c r="C327" s="2">
        <v>0.5708333333333333</v>
      </c>
      <c r="D327" t="s">
        <v>8</v>
      </c>
      <c r="E327" t="s">
        <v>9</v>
      </c>
      <c r="F327">
        <v>30</v>
      </c>
      <c r="G327" t="s">
        <v>97</v>
      </c>
      <c r="H327" t="s">
        <v>96</v>
      </c>
    </row>
    <row r="328" spans="1:8" x14ac:dyDescent="0.3">
      <c r="A328">
        <v>327</v>
      </c>
      <c r="B328" s="1">
        <v>45786</v>
      </c>
      <c r="C328" s="2">
        <v>0.65625</v>
      </c>
      <c r="D328" t="s">
        <v>8</v>
      </c>
      <c r="E328" t="s">
        <v>9</v>
      </c>
      <c r="F328">
        <v>149</v>
      </c>
      <c r="G328" t="s">
        <v>68</v>
      </c>
      <c r="H328" t="s">
        <v>96</v>
      </c>
    </row>
    <row r="329" spans="1:8" x14ac:dyDescent="0.3">
      <c r="A329">
        <v>328</v>
      </c>
      <c r="B329" s="1">
        <v>45789</v>
      </c>
      <c r="C329" s="2">
        <v>0.44861111111111113</v>
      </c>
      <c r="D329" t="s">
        <v>22</v>
      </c>
      <c r="E329" t="s">
        <v>23</v>
      </c>
      <c r="F329">
        <v>1000</v>
      </c>
      <c r="G329" t="s">
        <v>12</v>
      </c>
      <c r="H329" t="s">
        <v>96</v>
      </c>
    </row>
    <row r="330" spans="1:8" x14ac:dyDescent="0.3">
      <c r="A330">
        <v>329</v>
      </c>
      <c r="B330" s="1">
        <v>45789</v>
      </c>
      <c r="C330" s="2">
        <v>0.52500000000000002</v>
      </c>
      <c r="D330" t="s">
        <v>8</v>
      </c>
      <c r="E330" t="s">
        <v>9</v>
      </c>
      <c r="F330">
        <v>80</v>
      </c>
      <c r="G330" t="s">
        <v>33</v>
      </c>
      <c r="H330" t="s">
        <v>96</v>
      </c>
    </row>
    <row r="331" spans="1:8" x14ac:dyDescent="0.3">
      <c r="A331">
        <v>330</v>
      </c>
      <c r="B331" s="1">
        <v>45789</v>
      </c>
      <c r="C331" s="2">
        <v>0.52500000000000002</v>
      </c>
      <c r="D331" t="s">
        <v>16</v>
      </c>
      <c r="E331" t="s">
        <v>9</v>
      </c>
      <c r="F331">
        <v>1000</v>
      </c>
      <c r="G331" t="s">
        <v>17</v>
      </c>
      <c r="H331" t="s">
        <v>96</v>
      </c>
    </row>
    <row r="332" spans="1:8" x14ac:dyDescent="0.3">
      <c r="A332">
        <v>331</v>
      </c>
      <c r="B332" s="1">
        <v>45789</v>
      </c>
      <c r="C332" s="2">
        <v>0.86597222222222225</v>
      </c>
      <c r="D332" t="s">
        <v>8</v>
      </c>
      <c r="E332" t="s">
        <v>9</v>
      </c>
      <c r="F332">
        <v>1000</v>
      </c>
      <c r="G332" t="s">
        <v>95</v>
      </c>
      <c r="H332" t="s">
        <v>96</v>
      </c>
    </row>
    <row r="333" spans="1:8" x14ac:dyDescent="0.3">
      <c r="A333">
        <v>332</v>
      </c>
      <c r="B333" s="1">
        <v>45790</v>
      </c>
      <c r="C333" s="2">
        <v>0.50277777777777777</v>
      </c>
      <c r="D333" t="s">
        <v>8</v>
      </c>
      <c r="E333" t="s">
        <v>9</v>
      </c>
      <c r="F333">
        <v>699</v>
      </c>
      <c r="G333" t="s">
        <v>101</v>
      </c>
      <c r="H333" t="s">
        <v>96</v>
      </c>
    </row>
    <row r="334" spans="1:8" x14ac:dyDescent="0.3">
      <c r="A334">
        <v>333</v>
      </c>
      <c r="B334" s="1">
        <v>45791</v>
      </c>
      <c r="C334" s="2">
        <v>0.55555555555555558</v>
      </c>
      <c r="D334" t="s">
        <v>22</v>
      </c>
      <c r="E334" t="s">
        <v>23</v>
      </c>
      <c r="F334">
        <v>1000</v>
      </c>
      <c r="G334" t="s">
        <v>95</v>
      </c>
      <c r="H334" t="s">
        <v>96</v>
      </c>
    </row>
    <row r="335" spans="1:8" x14ac:dyDescent="0.3">
      <c r="A335">
        <v>334</v>
      </c>
      <c r="B335" s="1">
        <v>45792</v>
      </c>
      <c r="C335" s="2">
        <v>0.41666666666666669</v>
      </c>
      <c r="D335" t="s">
        <v>8</v>
      </c>
      <c r="E335" t="s">
        <v>9</v>
      </c>
      <c r="F335">
        <v>500</v>
      </c>
      <c r="G335" t="s">
        <v>82</v>
      </c>
      <c r="H335" t="s">
        <v>96</v>
      </c>
    </row>
    <row r="336" spans="1:8" x14ac:dyDescent="0.3">
      <c r="A336">
        <v>335</v>
      </c>
      <c r="B336" s="1">
        <v>45792</v>
      </c>
      <c r="C336" s="2">
        <v>0.43402777777777779</v>
      </c>
      <c r="D336" t="s">
        <v>8</v>
      </c>
      <c r="E336" t="s">
        <v>9</v>
      </c>
      <c r="F336">
        <v>500</v>
      </c>
      <c r="G336" t="s">
        <v>82</v>
      </c>
      <c r="H336" t="s">
        <v>96</v>
      </c>
    </row>
    <row r="337" spans="1:8" x14ac:dyDescent="0.3">
      <c r="A337">
        <v>336</v>
      </c>
      <c r="B337" s="1">
        <v>45792</v>
      </c>
      <c r="C337" s="2">
        <v>0.44930555555555557</v>
      </c>
      <c r="D337" t="s">
        <v>22</v>
      </c>
      <c r="E337" t="s">
        <v>23</v>
      </c>
      <c r="F337">
        <v>50</v>
      </c>
      <c r="G337" t="s">
        <v>59</v>
      </c>
      <c r="H337" t="s">
        <v>96</v>
      </c>
    </row>
    <row r="338" spans="1:8" x14ac:dyDescent="0.3">
      <c r="A338">
        <v>337</v>
      </c>
      <c r="B338" s="1">
        <v>45792</v>
      </c>
      <c r="C338" s="2">
        <v>0.4548611111111111</v>
      </c>
      <c r="D338" t="s">
        <v>8</v>
      </c>
      <c r="E338" t="s">
        <v>9</v>
      </c>
      <c r="F338">
        <v>10</v>
      </c>
      <c r="G338" t="s">
        <v>24</v>
      </c>
      <c r="H338" t="s">
        <v>96</v>
      </c>
    </row>
    <row r="339" spans="1:8" x14ac:dyDescent="0.3">
      <c r="A339">
        <v>338</v>
      </c>
      <c r="B339" s="1">
        <v>45792</v>
      </c>
      <c r="C339" s="2">
        <v>0.5493055555555556</v>
      </c>
      <c r="D339" t="s">
        <v>8</v>
      </c>
      <c r="E339" t="s">
        <v>9</v>
      </c>
      <c r="F339">
        <v>25</v>
      </c>
      <c r="G339" t="s">
        <v>97</v>
      </c>
      <c r="H339" t="s">
        <v>96</v>
      </c>
    </row>
    <row r="340" spans="1:8" x14ac:dyDescent="0.3">
      <c r="A340">
        <v>339</v>
      </c>
      <c r="B340" s="1">
        <v>45792</v>
      </c>
      <c r="C340" s="2">
        <v>0.57430555555555551</v>
      </c>
      <c r="D340" t="s">
        <v>8</v>
      </c>
      <c r="E340" t="s">
        <v>9</v>
      </c>
      <c r="F340">
        <v>1000</v>
      </c>
      <c r="G340" t="s">
        <v>102</v>
      </c>
      <c r="H340" t="s">
        <v>96</v>
      </c>
    </row>
    <row r="341" spans="1:8" x14ac:dyDescent="0.3">
      <c r="A341">
        <v>340</v>
      </c>
      <c r="B341" s="1">
        <v>45792</v>
      </c>
      <c r="C341" s="2">
        <v>0.79513888888888884</v>
      </c>
      <c r="D341" t="s">
        <v>22</v>
      </c>
      <c r="E341" t="s">
        <v>23</v>
      </c>
      <c r="F341">
        <v>1000</v>
      </c>
      <c r="G341" t="s">
        <v>13</v>
      </c>
      <c r="H341" t="s">
        <v>96</v>
      </c>
    </row>
    <row r="342" spans="1:8" x14ac:dyDescent="0.3">
      <c r="A342">
        <v>341</v>
      </c>
      <c r="B342" s="1">
        <v>45792</v>
      </c>
      <c r="C342" s="2">
        <v>0.79722222222222228</v>
      </c>
      <c r="D342" t="s">
        <v>8</v>
      </c>
      <c r="E342" t="s">
        <v>9</v>
      </c>
      <c r="F342">
        <v>10</v>
      </c>
      <c r="G342" t="s">
        <v>13</v>
      </c>
      <c r="H342" t="s">
        <v>96</v>
      </c>
    </row>
    <row r="343" spans="1:8" x14ac:dyDescent="0.3">
      <c r="A343">
        <v>342</v>
      </c>
      <c r="B343" s="1">
        <v>45792</v>
      </c>
      <c r="C343" s="2">
        <v>0.79861111111111116</v>
      </c>
      <c r="D343" t="s">
        <v>22</v>
      </c>
      <c r="E343" t="s">
        <v>23</v>
      </c>
      <c r="F343">
        <v>10</v>
      </c>
      <c r="G343" t="s">
        <v>13</v>
      </c>
      <c r="H343" t="s">
        <v>96</v>
      </c>
    </row>
    <row r="344" spans="1:8" x14ac:dyDescent="0.3">
      <c r="A344">
        <v>343</v>
      </c>
      <c r="B344" s="1">
        <v>45792</v>
      </c>
      <c r="C344" s="2">
        <v>0.83194444444444449</v>
      </c>
      <c r="D344" t="s">
        <v>22</v>
      </c>
      <c r="E344" t="s">
        <v>23</v>
      </c>
      <c r="F344">
        <v>5</v>
      </c>
      <c r="G344" t="s">
        <v>68</v>
      </c>
      <c r="H344" t="s">
        <v>96</v>
      </c>
    </row>
    <row r="345" spans="1:8" x14ac:dyDescent="0.3">
      <c r="A345">
        <v>344</v>
      </c>
      <c r="B345" s="1">
        <v>45792</v>
      </c>
      <c r="C345" s="2">
        <v>0.87777777777777777</v>
      </c>
      <c r="D345" t="s">
        <v>8</v>
      </c>
      <c r="E345" t="s">
        <v>9</v>
      </c>
      <c r="F345">
        <v>2000</v>
      </c>
      <c r="G345" t="s">
        <v>103</v>
      </c>
      <c r="H345" t="s">
        <v>96</v>
      </c>
    </row>
    <row r="346" spans="1:8" x14ac:dyDescent="0.3">
      <c r="A346">
        <v>345</v>
      </c>
      <c r="B346" s="1">
        <v>45792</v>
      </c>
      <c r="C346" s="2">
        <v>0.87847222222222221</v>
      </c>
      <c r="D346" t="s">
        <v>16</v>
      </c>
      <c r="E346" t="s">
        <v>9</v>
      </c>
      <c r="F346">
        <v>1000</v>
      </c>
      <c r="G346" t="s">
        <v>17</v>
      </c>
      <c r="H346" t="s">
        <v>96</v>
      </c>
    </row>
    <row r="347" spans="1:8" x14ac:dyDescent="0.3">
      <c r="A347">
        <v>346</v>
      </c>
      <c r="B347" s="1">
        <v>45793</v>
      </c>
      <c r="C347" s="2">
        <v>0.36388888888888887</v>
      </c>
      <c r="D347" t="s">
        <v>22</v>
      </c>
      <c r="E347" t="s">
        <v>23</v>
      </c>
      <c r="F347">
        <v>35</v>
      </c>
      <c r="G347" t="s">
        <v>10</v>
      </c>
      <c r="H347" t="s">
        <v>96</v>
      </c>
    </row>
    <row r="348" spans="1:8" x14ac:dyDescent="0.3">
      <c r="A348">
        <v>347</v>
      </c>
      <c r="B348" s="1">
        <v>45793</v>
      </c>
      <c r="C348" s="2">
        <v>0.79305555555555551</v>
      </c>
      <c r="D348" t="s">
        <v>22</v>
      </c>
      <c r="E348" t="s">
        <v>23</v>
      </c>
      <c r="F348">
        <v>49500</v>
      </c>
      <c r="G348" t="s">
        <v>30</v>
      </c>
      <c r="H348" t="s">
        <v>96</v>
      </c>
    </row>
    <row r="349" spans="1:8" x14ac:dyDescent="0.3">
      <c r="A349">
        <v>348</v>
      </c>
      <c r="B349" s="1">
        <v>45793</v>
      </c>
      <c r="C349" s="2">
        <v>0.8041666666666667</v>
      </c>
      <c r="D349" t="s">
        <v>16</v>
      </c>
      <c r="E349" t="s">
        <v>9</v>
      </c>
      <c r="F349">
        <v>300</v>
      </c>
      <c r="G349" t="s">
        <v>17</v>
      </c>
      <c r="H349" t="s">
        <v>96</v>
      </c>
    </row>
    <row r="350" spans="1:8" x14ac:dyDescent="0.3">
      <c r="A350">
        <v>349</v>
      </c>
      <c r="B350" s="1">
        <v>45793</v>
      </c>
      <c r="C350" s="2">
        <v>0.82222222222222219</v>
      </c>
      <c r="D350" t="s">
        <v>16</v>
      </c>
      <c r="E350" t="s">
        <v>9</v>
      </c>
      <c r="F350">
        <v>100</v>
      </c>
      <c r="G350" t="s">
        <v>17</v>
      </c>
      <c r="H350" t="s">
        <v>96</v>
      </c>
    </row>
    <row r="351" spans="1:8" x14ac:dyDescent="0.3">
      <c r="A351">
        <v>350</v>
      </c>
      <c r="B351" s="1">
        <v>45793</v>
      </c>
      <c r="C351" s="2">
        <v>0.82361111111111107</v>
      </c>
      <c r="D351" t="s">
        <v>22</v>
      </c>
      <c r="E351" t="s">
        <v>23</v>
      </c>
      <c r="F351">
        <v>10</v>
      </c>
      <c r="G351" t="s">
        <v>33</v>
      </c>
      <c r="H351" t="s">
        <v>96</v>
      </c>
    </row>
    <row r="352" spans="1:8" x14ac:dyDescent="0.3">
      <c r="A352">
        <v>351</v>
      </c>
      <c r="B352" s="1">
        <v>45793</v>
      </c>
      <c r="C352" s="2">
        <v>0.82361111111111107</v>
      </c>
      <c r="D352" t="s">
        <v>8</v>
      </c>
      <c r="E352" t="s">
        <v>9</v>
      </c>
      <c r="F352">
        <v>10</v>
      </c>
      <c r="G352" t="s">
        <v>33</v>
      </c>
      <c r="H352" t="s">
        <v>96</v>
      </c>
    </row>
    <row r="353" spans="1:8" x14ac:dyDescent="0.3">
      <c r="A353">
        <v>352</v>
      </c>
      <c r="B353" s="1">
        <v>45794</v>
      </c>
      <c r="C353" s="2">
        <v>0.54305555555555551</v>
      </c>
      <c r="D353" t="s">
        <v>18</v>
      </c>
      <c r="E353" t="s">
        <v>9</v>
      </c>
      <c r="F353">
        <v>1680</v>
      </c>
      <c r="G353" t="s">
        <v>19</v>
      </c>
      <c r="H353" t="s">
        <v>96</v>
      </c>
    </row>
    <row r="354" spans="1:8" x14ac:dyDescent="0.3">
      <c r="A354">
        <v>353</v>
      </c>
      <c r="B354" s="1">
        <v>45794</v>
      </c>
      <c r="C354" s="2">
        <v>0.54791666666666672</v>
      </c>
      <c r="D354" t="s">
        <v>8</v>
      </c>
      <c r="E354" t="s">
        <v>9</v>
      </c>
      <c r="F354">
        <v>30</v>
      </c>
      <c r="G354" t="s">
        <v>24</v>
      </c>
      <c r="H354" t="s">
        <v>96</v>
      </c>
    </row>
    <row r="355" spans="1:8" x14ac:dyDescent="0.3">
      <c r="A355">
        <v>354</v>
      </c>
      <c r="B355" s="1">
        <v>45794</v>
      </c>
      <c r="C355" s="2">
        <v>0.61041666666666672</v>
      </c>
      <c r="D355" t="s">
        <v>22</v>
      </c>
      <c r="E355" t="s">
        <v>23</v>
      </c>
      <c r="F355">
        <v>50500</v>
      </c>
      <c r="G355" t="s">
        <v>30</v>
      </c>
      <c r="H355" t="s">
        <v>96</v>
      </c>
    </row>
    <row r="356" spans="1:8" x14ac:dyDescent="0.3">
      <c r="A356">
        <v>355</v>
      </c>
      <c r="B356" s="1">
        <v>45794</v>
      </c>
      <c r="C356" s="2">
        <v>0.62013888888888891</v>
      </c>
      <c r="D356" t="s">
        <v>16</v>
      </c>
      <c r="E356" t="s">
        <v>9</v>
      </c>
      <c r="F356">
        <v>1000</v>
      </c>
      <c r="G356" t="s">
        <v>17</v>
      </c>
      <c r="H356" t="s">
        <v>96</v>
      </c>
    </row>
    <row r="357" spans="1:8" x14ac:dyDescent="0.3">
      <c r="A357">
        <v>356</v>
      </c>
      <c r="B357" s="1">
        <v>45794</v>
      </c>
      <c r="C357" s="2">
        <v>0.62083333333333335</v>
      </c>
      <c r="D357" t="s">
        <v>8</v>
      </c>
      <c r="E357" t="s">
        <v>9</v>
      </c>
      <c r="F357">
        <v>1680</v>
      </c>
      <c r="G357" t="s">
        <v>21</v>
      </c>
      <c r="H357" t="s">
        <v>96</v>
      </c>
    </row>
    <row r="358" spans="1:8" x14ac:dyDescent="0.3">
      <c r="A358">
        <v>357</v>
      </c>
      <c r="B358" s="1">
        <v>45794</v>
      </c>
      <c r="C358" s="2">
        <v>0.62361111111111112</v>
      </c>
      <c r="D358" t="s">
        <v>8</v>
      </c>
      <c r="E358" t="s">
        <v>9</v>
      </c>
      <c r="F358">
        <v>10000</v>
      </c>
      <c r="G358" t="s">
        <v>21</v>
      </c>
      <c r="H358" t="s">
        <v>96</v>
      </c>
    </row>
    <row r="359" spans="1:8" x14ac:dyDescent="0.3">
      <c r="A359">
        <v>358</v>
      </c>
      <c r="B359" s="1">
        <v>45794</v>
      </c>
      <c r="C359" s="2">
        <v>0.64444444444444449</v>
      </c>
      <c r="D359" t="s">
        <v>8</v>
      </c>
      <c r="E359" t="s">
        <v>9</v>
      </c>
      <c r="F359">
        <v>2600</v>
      </c>
      <c r="G359" t="s">
        <v>29</v>
      </c>
      <c r="H359" t="s">
        <v>96</v>
      </c>
    </row>
    <row r="360" spans="1:8" x14ac:dyDescent="0.3">
      <c r="A360">
        <v>359</v>
      </c>
      <c r="B360" s="1">
        <v>45794</v>
      </c>
      <c r="C360" s="2">
        <v>0.83750000000000002</v>
      </c>
      <c r="D360" t="s">
        <v>22</v>
      </c>
      <c r="E360" t="s">
        <v>23</v>
      </c>
      <c r="F360">
        <v>20</v>
      </c>
      <c r="G360" t="s">
        <v>35</v>
      </c>
      <c r="H360" t="s">
        <v>96</v>
      </c>
    </row>
    <row r="361" spans="1:8" x14ac:dyDescent="0.3">
      <c r="A361">
        <v>360</v>
      </c>
      <c r="B361" s="1">
        <v>45794</v>
      </c>
      <c r="C361" s="2">
        <v>0.85069444444444442</v>
      </c>
      <c r="D361" t="s">
        <v>16</v>
      </c>
      <c r="E361" t="s">
        <v>9</v>
      </c>
      <c r="F361">
        <v>20</v>
      </c>
      <c r="G361" t="s">
        <v>17</v>
      </c>
      <c r="H361" t="s">
        <v>96</v>
      </c>
    </row>
    <row r="362" spans="1:8" x14ac:dyDescent="0.3">
      <c r="A362">
        <v>361</v>
      </c>
      <c r="B362" s="1">
        <v>45796</v>
      </c>
      <c r="C362" s="2">
        <v>0.32847222222222222</v>
      </c>
      <c r="D362" t="s">
        <v>8</v>
      </c>
      <c r="E362" t="s">
        <v>9</v>
      </c>
      <c r="F362">
        <v>200</v>
      </c>
      <c r="G362" t="s">
        <v>82</v>
      </c>
      <c r="H362" t="s">
        <v>96</v>
      </c>
    </row>
    <row r="363" spans="1:8" x14ac:dyDescent="0.3">
      <c r="A363">
        <v>362</v>
      </c>
      <c r="B363" s="1">
        <v>45796</v>
      </c>
      <c r="C363" s="2">
        <v>0.41111111111111109</v>
      </c>
      <c r="D363" t="s">
        <v>8</v>
      </c>
      <c r="E363" t="s">
        <v>9</v>
      </c>
      <c r="F363">
        <v>40</v>
      </c>
      <c r="G363" t="s">
        <v>24</v>
      </c>
      <c r="H363" t="s">
        <v>96</v>
      </c>
    </row>
    <row r="364" spans="1:8" x14ac:dyDescent="0.3">
      <c r="A364">
        <v>363</v>
      </c>
      <c r="B364" s="1">
        <v>45796</v>
      </c>
      <c r="C364" s="2">
        <v>0.57777777777777772</v>
      </c>
      <c r="D364" t="s">
        <v>22</v>
      </c>
      <c r="E364" t="s">
        <v>23</v>
      </c>
      <c r="F364">
        <v>300</v>
      </c>
      <c r="G364" t="s">
        <v>30</v>
      </c>
      <c r="H364" t="s">
        <v>96</v>
      </c>
    </row>
    <row r="365" spans="1:8" x14ac:dyDescent="0.3">
      <c r="A365">
        <v>364</v>
      </c>
      <c r="B365" s="1">
        <v>45796</v>
      </c>
      <c r="C365" s="2">
        <v>0.63888888888888884</v>
      </c>
      <c r="D365" t="s">
        <v>8</v>
      </c>
      <c r="E365" t="s">
        <v>9</v>
      </c>
      <c r="F365">
        <v>3800</v>
      </c>
      <c r="G365" t="s">
        <v>68</v>
      </c>
      <c r="H365" t="s">
        <v>96</v>
      </c>
    </row>
    <row r="366" spans="1:8" x14ac:dyDescent="0.3">
      <c r="A366">
        <v>365</v>
      </c>
      <c r="B366" s="1">
        <v>45796</v>
      </c>
      <c r="C366" s="2">
        <v>0.80694444444444446</v>
      </c>
      <c r="D366" t="s">
        <v>8</v>
      </c>
      <c r="E366" t="s">
        <v>9</v>
      </c>
      <c r="F366">
        <v>2000</v>
      </c>
      <c r="G366" t="s">
        <v>104</v>
      </c>
      <c r="H366" t="s">
        <v>96</v>
      </c>
    </row>
    <row r="367" spans="1:8" x14ac:dyDescent="0.3">
      <c r="A367">
        <v>366</v>
      </c>
      <c r="B367" s="1">
        <v>45797</v>
      </c>
      <c r="C367" s="2">
        <v>0.53541666666666665</v>
      </c>
      <c r="D367" t="s">
        <v>22</v>
      </c>
      <c r="E367" t="s">
        <v>23</v>
      </c>
      <c r="F367">
        <v>200</v>
      </c>
      <c r="G367" t="s">
        <v>12</v>
      </c>
      <c r="H367" t="s">
        <v>96</v>
      </c>
    </row>
    <row r="368" spans="1:8" x14ac:dyDescent="0.3">
      <c r="A368">
        <v>367</v>
      </c>
      <c r="B368" s="1">
        <v>45797</v>
      </c>
      <c r="C368" s="2">
        <v>0.5395833333333333</v>
      </c>
      <c r="D368" t="s">
        <v>8</v>
      </c>
      <c r="E368" t="s">
        <v>9</v>
      </c>
      <c r="F368">
        <v>25</v>
      </c>
      <c r="G368" t="s">
        <v>12</v>
      </c>
      <c r="H368" t="s">
        <v>96</v>
      </c>
    </row>
    <row r="369" spans="1:8" x14ac:dyDescent="0.3">
      <c r="A369">
        <v>368</v>
      </c>
      <c r="B369" s="1">
        <v>45797</v>
      </c>
      <c r="C369" s="2">
        <v>0.76041666666666663</v>
      </c>
      <c r="D369" t="s">
        <v>8</v>
      </c>
      <c r="E369" t="s">
        <v>9</v>
      </c>
      <c r="F369">
        <v>60</v>
      </c>
      <c r="G369" t="s">
        <v>26</v>
      </c>
      <c r="H369" t="s">
        <v>96</v>
      </c>
    </row>
    <row r="370" spans="1:8" x14ac:dyDescent="0.3">
      <c r="A370">
        <v>369</v>
      </c>
      <c r="B370" s="1">
        <v>45797</v>
      </c>
      <c r="C370" s="2">
        <v>0.82291666666666663</v>
      </c>
      <c r="D370" t="s">
        <v>8</v>
      </c>
      <c r="E370" t="s">
        <v>9</v>
      </c>
      <c r="F370">
        <v>760</v>
      </c>
      <c r="G370" t="s">
        <v>105</v>
      </c>
      <c r="H370" t="s">
        <v>96</v>
      </c>
    </row>
    <row r="371" spans="1:8" x14ac:dyDescent="0.3">
      <c r="A371">
        <v>370</v>
      </c>
      <c r="B371" s="1">
        <v>45798</v>
      </c>
      <c r="C371" s="2">
        <v>0.63611111111111107</v>
      </c>
      <c r="D371" t="s">
        <v>8</v>
      </c>
      <c r="E371" t="s">
        <v>9</v>
      </c>
      <c r="F371">
        <v>8240</v>
      </c>
      <c r="G371" t="s">
        <v>101</v>
      </c>
      <c r="H371" t="s">
        <v>96</v>
      </c>
    </row>
    <row r="372" spans="1:8" x14ac:dyDescent="0.3">
      <c r="A372">
        <v>371</v>
      </c>
      <c r="B372" s="1">
        <v>45798</v>
      </c>
      <c r="C372" s="2">
        <v>0.63680555555555551</v>
      </c>
      <c r="D372" t="s">
        <v>16</v>
      </c>
      <c r="E372" t="s">
        <v>9</v>
      </c>
      <c r="F372">
        <v>385</v>
      </c>
      <c r="G372" t="s">
        <v>17</v>
      </c>
      <c r="H372" t="s">
        <v>96</v>
      </c>
    </row>
    <row r="373" spans="1:8" x14ac:dyDescent="0.3">
      <c r="A373">
        <v>372</v>
      </c>
      <c r="B373" s="1">
        <v>45798</v>
      </c>
      <c r="C373" s="2">
        <v>0.7104166666666667</v>
      </c>
      <c r="D373" t="s">
        <v>8</v>
      </c>
      <c r="E373" t="s">
        <v>9</v>
      </c>
      <c r="F373">
        <v>20</v>
      </c>
      <c r="G373" t="s">
        <v>106</v>
      </c>
      <c r="H373" t="s">
        <v>96</v>
      </c>
    </row>
    <row r="374" spans="1:8" x14ac:dyDescent="0.3">
      <c r="A374">
        <v>373</v>
      </c>
      <c r="B374" s="1">
        <v>45798</v>
      </c>
      <c r="C374" s="2">
        <v>0.72986111111111107</v>
      </c>
      <c r="D374" t="s">
        <v>8</v>
      </c>
      <c r="E374" t="s">
        <v>9</v>
      </c>
      <c r="F374">
        <v>200</v>
      </c>
      <c r="G374" t="s">
        <v>107</v>
      </c>
      <c r="H374" t="s">
        <v>96</v>
      </c>
    </row>
    <row r="375" spans="1:8" x14ac:dyDescent="0.3">
      <c r="A375">
        <v>374</v>
      </c>
      <c r="B375" s="1">
        <v>45799</v>
      </c>
      <c r="C375" s="2">
        <v>0.45</v>
      </c>
      <c r="D375" t="s">
        <v>8</v>
      </c>
      <c r="E375" t="s">
        <v>9</v>
      </c>
      <c r="F375">
        <v>1230</v>
      </c>
      <c r="G375" t="s">
        <v>108</v>
      </c>
      <c r="H375" t="s">
        <v>96</v>
      </c>
    </row>
    <row r="376" spans="1:8" x14ac:dyDescent="0.3">
      <c r="A376">
        <v>375</v>
      </c>
      <c r="B376" s="1">
        <v>45799</v>
      </c>
      <c r="C376" s="2">
        <v>0.61597222222222225</v>
      </c>
      <c r="D376" t="s">
        <v>22</v>
      </c>
      <c r="E376" t="s">
        <v>23</v>
      </c>
      <c r="F376">
        <v>2500</v>
      </c>
      <c r="G376" t="s">
        <v>59</v>
      </c>
      <c r="H376" t="s">
        <v>96</v>
      </c>
    </row>
    <row r="377" spans="1:8" x14ac:dyDescent="0.3">
      <c r="A377">
        <v>376</v>
      </c>
      <c r="B377" s="1">
        <v>45799</v>
      </c>
      <c r="C377" s="2">
        <v>0.62916666666666665</v>
      </c>
      <c r="D377" t="s">
        <v>8</v>
      </c>
      <c r="E377" t="s">
        <v>9</v>
      </c>
      <c r="F377">
        <v>2100</v>
      </c>
      <c r="G377" t="s">
        <v>30</v>
      </c>
      <c r="H377" t="s">
        <v>96</v>
      </c>
    </row>
    <row r="378" spans="1:8" x14ac:dyDescent="0.3">
      <c r="A378">
        <v>377</v>
      </c>
      <c r="B378" s="1">
        <v>45800</v>
      </c>
      <c r="C378" s="2">
        <v>0.57916666666666672</v>
      </c>
      <c r="D378" t="s">
        <v>8</v>
      </c>
      <c r="E378" t="s">
        <v>9</v>
      </c>
      <c r="F378">
        <v>1000</v>
      </c>
      <c r="G378" t="s">
        <v>109</v>
      </c>
      <c r="H378" t="s">
        <v>96</v>
      </c>
    </row>
    <row r="379" spans="1:8" x14ac:dyDescent="0.3">
      <c r="A379">
        <v>378</v>
      </c>
      <c r="B379" s="1">
        <v>45801</v>
      </c>
      <c r="C379" s="2">
        <v>0.72222222222222221</v>
      </c>
      <c r="D379" t="s">
        <v>22</v>
      </c>
      <c r="E379" t="s">
        <v>23</v>
      </c>
      <c r="F379">
        <v>8000</v>
      </c>
      <c r="G379" t="s">
        <v>10</v>
      </c>
      <c r="H379" t="s">
        <v>96</v>
      </c>
    </row>
    <row r="380" spans="1:8" x14ac:dyDescent="0.3">
      <c r="A380">
        <v>379</v>
      </c>
      <c r="B380" s="1">
        <v>45801</v>
      </c>
      <c r="C380" s="2">
        <v>0.72291666666666665</v>
      </c>
      <c r="D380" t="s">
        <v>8</v>
      </c>
      <c r="E380" t="s">
        <v>9</v>
      </c>
      <c r="F380">
        <v>8000</v>
      </c>
      <c r="G380" t="s">
        <v>68</v>
      </c>
      <c r="H380" t="s">
        <v>96</v>
      </c>
    </row>
    <row r="381" spans="1:8" x14ac:dyDescent="0.3">
      <c r="A381">
        <v>380</v>
      </c>
      <c r="B381" s="1">
        <v>45802</v>
      </c>
      <c r="C381" s="2">
        <v>0.44722222222222224</v>
      </c>
      <c r="D381" t="s">
        <v>22</v>
      </c>
      <c r="E381" t="s">
        <v>23</v>
      </c>
      <c r="F381">
        <v>2100</v>
      </c>
      <c r="G381" t="s">
        <v>83</v>
      </c>
      <c r="H381" t="s">
        <v>96</v>
      </c>
    </row>
    <row r="382" spans="1:8" x14ac:dyDescent="0.3">
      <c r="A382">
        <v>381</v>
      </c>
      <c r="B382" s="1">
        <v>45802</v>
      </c>
      <c r="C382" s="2">
        <v>0.54305555555555551</v>
      </c>
      <c r="D382" t="s">
        <v>8</v>
      </c>
      <c r="E382" t="s">
        <v>9</v>
      </c>
      <c r="F382">
        <v>20</v>
      </c>
      <c r="G382" t="s">
        <v>110</v>
      </c>
      <c r="H382" t="s">
        <v>96</v>
      </c>
    </row>
    <row r="383" spans="1:8" x14ac:dyDescent="0.3">
      <c r="A383">
        <v>382</v>
      </c>
      <c r="B383" s="1">
        <v>45802</v>
      </c>
      <c r="C383" s="2">
        <v>0.54513888888888884</v>
      </c>
      <c r="D383" t="s">
        <v>8</v>
      </c>
      <c r="E383" t="s">
        <v>9</v>
      </c>
      <c r="F383">
        <v>150</v>
      </c>
      <c r="G383" t="s">
        <v>111</v>
      </c>
      <c r="H383" t="s">
        <v>96</v>
      </c>
    </row>
    <row r="384" spans="1:8" x14ac:dyDescent="0.3">
      <c r="A384">
        <v>383</v>
      </c>
      <c r="B384" s="1">
        <v>45802</v>
      </c>
      <c r="C384" s="2">
        <v>0.69236111111111109</v>
      </c>
      <c r="D384" t="s">
        <v>8</v>
      </c>
      <c r="E384" t="s">
        <v>9</v>
      </c>
      <c r="F384">
        <v>1500</v>
      </c>
      <c r="G384" t="s">
        <v>30</v>
      </c>
      <c r="H384" t="s">
        <v>96</v>
      </c>
    </row>
    <row r="385" spans="1:8" x14ac:dyDescent="0.3">
      <c r="A385">
        <v>384</v>
      </c>
      <c r="B385" s="1">
        <v>45802</v>
      </c>
      <c r="C385" s="2">
        <v>0.87847222222222221</v>
      </c>
      <c r="D385" t="s">
        <v>22</v>
      </c>
      <c r="E385" t="s">
        <v>23</v>
      </c>
      <c r="F385">
        <v>1000</v>
      </c>
      <c r="G385" t="s">
        <v>109</v>
      </c>
      <c r="H385" t="s">
        <v>96</v>
      </c>
    </row>
    <row r="386" spans="1:8" x14ac:dyDescent="0.3">
      <c r="A386">
        <v>385</v>
      </c>
      <c r="B386" s="1">
        <v>45804</v>
      </c>
      <c r="C386" s="2">
        <v>0.68541666666666667</v>
      </c>
      <c r="D386" t="s">
        <v>8</v>
      </c>
      <c r="E386" t="s">
        <v>9</v>
      </c>
      <c r="F386">
        <v>100</v>
      </c>
      <c r="G386" t="s">
        <v>112</v>
      </c>
      <c r="H386" t="s">
        <v>96</v>
      </c>
    </row>
    <row r="387" spans="1:8" x14ac:dyDescent="0.3">
      <c r="A387">
        <v>386</v>
      </c>
      <c r="B387" s="1">
        <v>45805</v>
      </c>
      <c r="C387" s="2">
        <v>0.4826388888888889</v>
      </c>
      <c r="D387" t="s">
        <v>22</v>
      </c>
      <c r="E387" t="s">
        <v>23</v>
      </c>
      <c r="F387">
        <v>1000</v>
      </c>
      <c r="G387" t="s">
        <v>113</v>
      </c>
      <c r="H387" t="s">
        <v>96</v>
      </c>
    </row>
    <row r="388" spans="1:8" x14ac:dyDescent="0.3">
      <c r="A388">
        <v>387</v>
      </c>
      <c r="B388" s="1">
        <v>45805</v>
      </c>
      <c r="C388" s="2">
        <v>0.54374999999999996</v>
      </c>
      <c r="D388" t="s">
        <v>22</v>
      </c>
      <c r="E388" t="s">
        <v>23</v>
      </c>
      <c r="F388">
        <v>500</v>
      </c>
      <c r="G388" t="s">
        <v>30</v>
      </c>
      <c r="H388" t="s">
        <v>96</v>
      </c>
    </row>
    <row r="389" spans="1:8" x14ac:dyDescent="0.3">
      <c r="A389">
        <v>388</v>
      </c>
      <c r="B389" s="1">
        <v>45805</v>
      </c>
      <c r="C389" s="2">
        <v>0.81736111111111109</v>
      </c>
      <c r="D389" t="s">
        <v>22</v>
      </c>
      <c r="E389" t="s">
        <v>23</v>
      </c>
      <c r="F389">
        <v>40</v>
      </c>
      <c r="G389" t="s">
        <v>10</v>
      </c>
      <c r="H389" t="s">
        <v>96</v>
      </c>
    </row>
    <row r="390" spans="1:8" x14ac:dyDescent="0.3">
      <c r="A390">
        <v>389</v>
      </c>
      <c r="B390" s="1">
        <v>45805</v>
      </c>
      <c r="C390" s="2">
        <v>0.82291666666666663</v>
      </c>
      <c r="D390" t="s">
        <v>22</v>
      </c>
      <c r="E390" t="s">
        <v>23</v>
      </c>
      <c r="F390">
        <v>50</v>
      </c>
      <c r="G390" t="s">
        <v>29</v>
      </c>
      <c r="H390" t="s">
        <v>96</v>
      </c>
    </row>
    <row r="391" spans="1:8" x14ac:dyDescent="0.3">
      <c r="A391">
        <v>390</v>
      </c>
      <c r="B391" s="1">
        <v>45806</v>
      </c>
      <c r="C391" s="2">
        <v>0.41041666666666665</v>
      </c>
      <c r="D391" t="s">
        <v>16</v>
      </c>
      <c r="E391" t="s">
        <v>9</v>
      </c>
      <c r="F391">
        <v>1000</v>
      </c>
      <c r="G391" t="s">
        <v>17</v>
      </c>
      <c r="H391" t="s">
        <v>96</v>
      </c>
    </row>
    <row r="392" spans="1:8" x14ac:dyDescent="0.3">
      <c r="A392">
        <v>391</v>
      </c>
      <c r="B392" s="1">
        <v>45806</v>
      </c>
      <c r="C392" s="2">
        <v>0.50486111111111109</v>
      </c>
      <c r="D392" t="s">
        <v>22</v>
      </c>
      <c r="E392" t="s">
        <v>23</v>
      </c>
      <c r="F392">
        <v>300</v>
      </c>
      <c r="G392" t="s">
        <v>59</v>
      </c>
      <c r="H392" t="s">
        <v>96</v>
      </c>
    </row>
    <row r="393" spans="1:8" x14ac:dyDescent="0.3">
      <c r="A393">
        <v>392</v>
      </c>
      <c r="B393" s="1">
        <v>45806</v>
      </c>
      <c r="C393" s="2">
        <v>0.51180555555555551</v>
      </c>
      <c r="D393" t="s">
        <v>16</v>
      </c>
      <c r="E393" t="s">
        <v>9</v>
      </c>
      <c r="F393">
        <v>70</v>
      </c>
      <c r="G393" t="s">
        <v>17</v>
      </c>
      <c r="H393" t="s">
        <v>96</v>
      </c>
    </row>
    <row r="394" spans="1:8" x14ac:dyDescent="0.3">
      <c r="A394">
        <v>393</v>
      </c>
      <c r="B394" s="1">
        <v>45806</v>
      </c>
      <c r="C394" s="2">
        <v>0.9458333333333333</v>
      </c>
      <c r="D394" t="s">
        <v>22</v>
      </c>
      <c r="E394" t="s">
        <v>23</v>
      </c>
      <c r="F394">
        <v>65</v>
      </c>
      <c r="G394" t="s">
        <v>26</v>
      </c>
      <c r="H394" t="s">
        <v>96</v>
      </c>
    </row>
    <row r="395" spans="1:8" x14ac:dyDescent="0.3">
      <c r="A395">
        <v>394</v>
      </c>
      <c r="B395" s="1">
        <v>45807</v>
      </c>
      <c r="C395" s="2">
        <v>0.61111111111111116</v>
      </c>
      <c r="D395" t="s">
        <v>8</v>
      </c>
      <c r="E395" t="s">
        <v>9</v>
      </c>
      <c r="F395">
        <v>500</v>
      </c>
      <c r="G395" t="s">
        <v>12</v>
      </c>
      <c r="H395" t="s">
        <v>96</v>
      </c>
    </row>
    <row r="396" spans="1:8" x14ac:dyDescent="0.3">
      <c r="A396">
        <v>395</v>
      </c>
      <c r="B396" s="1">
        <v>45807</v>
      </c>
      <c r="C396" s="2">
        <v>0.61805555555555558</v>
      </c>
      <c r="D396" t="s">
        <v>38</v>
      </c>
      <c r="E396" t="s">
        <v>9</v>
      </c>
      <c r="F396">
        <v>105</v>
      </c>
      <c r="G396" t="s">
        <v>88</v>
      </c>
      <c r="H396" t="s">
        <v>96</v>
      </c>
    </row>
    <row r="397" spans="1:8" x14ac:dyDescent="0.3">
      <c r="A397">
        <v>396</v>
      </c>
      <c r="B397" s="1">
        <v>45807</v>
      </c>
      <c r="C397" s="2">
        <v>0.63958333333333328</v>
      </c>
      <c r="D397" t="s">
        <v>8</v>
      </c>
      <c r="E397" t="s">
        <v>9</v>
      </c>
      <c r="F397">
        <v>60</v>
      </c>
      <c r="G397" t="s">
        <v>114</v>
      </c>
      <c r="H397" t="s">
        <v>96</v>
      </c>
    </row>
    <row r="398" spans="1:8" x14ac:dyDescent="0.3">
      <c r="A398">
        <v>397</v>
      </c>
      <c r="B398" s="1">
        <v>45807</v>
      </c>
      <c r="C398" s="2">
        <v>0.71875</v>
      </c>
      <c r="D398" t="s">
        <v>22</v>
      </c>
      <c r="E398" t="s">
        <v>23</v>
      </c>
      <c r="F398">
        <v>55</v>
      </c>
      <c r="G398" t="s">
        <v>115</v>
      </c>
      <c r="H398" t="s">
        <v>96</v>
      </c>
    </row>
    <row r="399" spans="1:8" x14ac:dyDescent="0.3">
      <c r="A399">
        <v>398</v>
      </c>
      <c r="B399" s="1">
        <v>45808</v>
      </c>
      <c r="C399" s="2">
        <v>0.33750000000000002</v>
      </c>
      <c r="D399" t="s">
        <v>8</v>
      </c>
      <c r="E399" t="s">
        <v>9</v>
      </c>
      <c r="F399">
        <v>250</v>
      </c>
      <c r="G399" t="s">
        <v>12</v>
      </c>
      <c r="H399" t="s">
        <v>96</v>
      </c>
    </row>
    <row r="400" spans="1:8" x14ac:dyDescent="0.3">
      <c r="A400">
        <v>399</v>
      </c>
      <c r="B400" s="1">
        <v>45808</v>
      </c>
      <c r="C400" s="2">
        <v>0.61597222222222225</v>
      </c>
      <c r="D400" t="s">
        <v>8</v>
      </c>
      <c r="E400" t="s">
        <v>9</v>
      </c>
      <c r="F400">
        <v>4000</v>
      </c>
      <c r="G400" t="s">
        <v>59</v>
      </c>
      <c r="H400" t="s">
        <v>96</v>
      </c>
    </row>
    <row r="401" spans="1:8" x14ac:dyDescent="0.3">
      <c r="A401">
        <v>400</v>
      </c>
      <c r="B401" s="1">
        <v>45809</v>
      </c>
      <c r="C401" s="2">
        <v>0.43333333333333335</v>
      </c>
      <c r="D401" t="s">
        <v>8</v>
      </c>
      <c r="E401" t="s">
        <v>9</v>
      </c>
      <c r="F401">
        <v>17000</v>
      </c>
      <c r="G401" t="s">
        <v>59</v>
      </c>
      <c r="H401" t="s">
        <v>116</v>
      </c>
    </row>
    <row r="402" spans="1:8" x14ac:dyDescent="0.3">
      <c r="A402">
        <v>401</v>
      </c>
      <c r="B402" s="1">
        <v>45809</v>
      </c>
      <c r="C402" s="2">
        <v>0.80972222222222223</v>
      </c>
      <c r="D402" t="s">
        <v>8</v>
      </c>
      <c r="E402" t="s">
        <v>9</v>
      </c>
      <c r="F402">
        <v>2000</v>
      </c>
      <c r="G402" t="s">
        <v>104</v>
      </c>
      <c r="H402" t="s">
        <v>116</v>
      </c>
    </row>
    <row r="403" spans="1:8" x14ac:dyDescent="0.3">
      <c r="A403">
        <v>402</v>
      </c>
      <c r="B403" s="1">
        <v>45809</v>
      </c>
      <c r="C403" s="2">
        <v>0.81041666666666667</v>
      </c>
      <c r="D403" t="s">
        <v>8</v>
      </c>
      <c r="E403" t="s">
        <v>9</v>
      </c>
      <c r="F403">
        <v>1500</v>
      </c>
      <c r="G403" t="s">
        <v>21</v>
      </c>
      <c r="H403" t="s">
        <v>116</v>
      </c>
    </row>
    <row r="404" spans="1:8" x14ac:dyDescent="0.3">
      <c r="A404">
        <v>403</v>
      </c>
      <c r="B404" s="1">
        <v>45810</v>
      </c>
      <c r="C404" s="2">
        <v>0.42986111111111114</v>
      </c>
      <c r="D404" t="s">
        <v>8</v>
      </c>
      <c r="E404" t="s">
        <v>9</v>
      </c>
      <c r="F404">
        <v>3500</v>
      </c>
      <c r="G404" t="s">
        <v>59</v>
      </c>
      <c r="H404" t="s">
        <v>116</v>
      </c>
    </row>
    <row r="405" spans="1:8" x14ac:dyDescent="0.3">
      <c r="A405">
        <v>404</v>
      </c>
      <c r="B405" s="1">
        <v>45810</v>
      </c>
      <c r="C405" s="2">
        <v>0.56527777777777777</v>
      </c>
      <c r="D405" t="s">
        <v>8</v>
      </c>
      <c r="E405" t="s">
        <v>9</v>
      </c>
      <c r="F405">
        <v>4300</v>
      </c>
      <c r="G405" t="s">
        <v>100</v>
      </c>
      <c r="H405" t="s">
        <v>116</v>
      </c>
    </row>
    <row r="406" spans="1:8" x14ac:dyDescent="0.3">
      <c r="A406">
        <v>405</v>
      </c>
      <c r="B406" s="1">
        <v>45810</v>
      </c>
      <c r="C406" s="2">
        <v>0.86875000000000002</v>
      </c>
      <c r="D406" t="s">
        <v>22</v>
      </c>
      <c r="E406" t="s">
        <v>23</v>
      </c>
      <c r="F406">
        <v>15</v>
      </c>
      <c r="G406" t="s">
        <v>26</v>
      </c>
      <c r="H406" t="s">
        <v>116</v>
      </c>
    </row>
    <row r="407" spans="1:8" x14ac:dyDescent="0.3">
      <c r="A407">
        <v>406</v>
      </c>
      <c r="B407" s="1">
        <v>45811</v>
      </c>
      <c r="C407" s="2">
        <v>3.888888888888889E-2</v>
      </c>
      <c r="D407" t="s">
        <v>22</v>
      </c>
      <c r="E407" t="s">
        <v>23</v>
      </c>
      <c r="F407">
        <v>4300</v>
      </c>
      <c r="G407" t="s">
        <v>95</v>
      </c>
      <c r="H407" t="s">
        <v>116</v>
      </c>
    </row>
    <row r="408" spans="1:8" x14ac:dyDescent="0.3">
      <c r="A408">
        <v>407</v>
      </c>
      <c r="B408" s="1">
        <v>45811</v>
      </c>
      <c r="C408" s="2">
        <v>0.48749999999999999</v>
      </c>
      <c r="D408" t="s">
        <v>8</v>
      </c>
      <c r="E408" t="s">
        <v>9</v>
      </c>
      <c r="F408">
        <v>5000</v>
      </c>
      <c r="G408" t="s">
        <v>117</v>
      </c>
      <c r="H408" t="s">
        <v>116</v>
      </c>
    </row>
    <row r="409" spans="1:8" x14ac:dyDescent="0.3">
      <c r="A409">
        <v>408</v>
      </c>
      <c r="B409" s="1">
        <v>45811</v>
      </c>
      <c r="C409" s="2">
        <v>0.75763888888888886</v>
      </c>
      <c r="D409" t="s">
        <v>8</v>
      </c>
      <c r="E409" t="s">
        <v>9</v>
      </c>
      <c r="F409">
        <v>6000</v>
      </c>
      <c r="G409" t="s">
        <v>59</v>
      </c>
      <c r="H409" t="s">
        <v>116</v>
      </c>
    </row>
    <row r="410" spans="1:8" x14ac:dyDescent="0.3">
      <c r="A410">
        <v>409</v>
      </c>
      <c r="B410" s="1">
        <v>45811</v>
      </c>
      <c r="C410" s="2">
        <v>0.8979166666666667</v>
      </c>
      <c r="D410" t="s">
        <v>22</v>
      </c>
      <c r="E410" t="s">
        <v>23</v>
      </c>
      <c r="F410">
        <v>5000</v>
      </c>
      <c r="G410" t="s">
        <v>59</v>
      </c>
      <c r="H410" t="s">
        <v>116</v>
      </c>
    </row>
    <row r="411" spans="1:8" x14ac:dyDescent="0.3">
      <c r="A411">
        <v>410</v>
      </c>
      <c r="B411" s="1">
        <v>45811</v>
      </c>
      <c r="C411" s="2">
        <v>0.89930555555555558</v>
      </c>
      <c r="D411" t="s">
        <v>8</v>
      </c>
      <c r="E411" t="s">
        <v>9</v>
      </c>
      <c r="F411">
        <v>5000</v>
      </c>
      <c r="G411" t="s">
        <v>104</v>
      </c>
      <c r="H411" t="s">
        <v>116</v>
      </c>
    </row>
    <row r="412" spans="1:8" x14ac:dyDescent="0.3">
      <c r="A412">
        <v>411</v>
      </c>
      <c r="B412" s="1">
        <v>45812</v>
      </c>
      <c r="C412" s="2">
        <v>0.4375</v>
      </c>
      <c r="D412" t="s">
        <v>8</v>
      </c>
      <c r="E412" t="s">
        <v>9</v>
      </c>
      <c r="F412">
        <v>331</v>
      </c>
      <c r="G412" t="s">
        <v>21</v>
      </c>
      <c r="H412" t="s">
        <v>116</v>
      </c>
    </row>
    <row r="413" spans="1:8" x14ac:dyDescent="0.3">
      <c r="A413">
        <v>412</v>
      </c>
      <c r="B413" s="1">
        <v>45812</v>
      </c>
      <c r="C413" s="2">
        <v>0.4375</v>
      </c>
      <c r="D413" t="s">
        <v>8</v>
      </c>
      <c r="E413" t="s">
        <v>9</v>
      </c>
      <c r="F413">
        <v>1000</v>
      </c>
      <c r="G413" t="s">
        <v>21</v>
      </c>
      <c r="H413" t="s">
        <v>116</v>
      </c>
    </row>
    <row r="414" spans="1:8" x14ac:dyDescent="0.3">
      <c r="A414">
        <v>413</v>
      </c>
      <c r="B414" s="1">
        <v>45812</v>
      </c>
      <c r="C414" s="2">
        <v>0.4375</v>
      </c>
      <c r="D414" t="s">
        <v>8</v>
      </c>
      <c r="E414" t="s">
        <v>9</v>
      </c>
      <c r="F414">
        <v>1000</v>
      </c>
      <c r="G414" t="s">
        <v>21</v>
      </c>
      <c r="H414" t="s">
        <v>116</v>
      </c>
    </row>
    <row r="415" spans="1:8" x14ac:dyDescent="0.3">
      <c r="A415">
        <v>414</v>
      </c>
      <c r="B415" s="1">
        <v>45812</v>
      </c>
      <c r="C415" s="2">
        <v>0.44722222222222224</v>
      </c>
      <c r="D415" t="s">
        <v>8</v>
      </c>
      <c r="E415" t="s">
        <v>9</v>
      </c>
      <c r="F415">
        <v>2331</v>
      </c>
      <c r="G415" t="s">
        <v>20</v>
      </c>
      <c r="H415" t="s">
        <v>116</v>
      </c>
    </row>
    <row r="416" spans="1:8" x14ac:dyDescent="0.3">
      <c r="A416">
        <v>415</v>
      </c>
      <c r="B416" s="1">
        <v>45812</v>
      </c>
      <c r="C416" s="2">
        <v>0.44722222222222224</v>
      </c>
      <c r="D416" t="s">
        <v>16</v>
      </c>
      <c r="E416" t="s">
        <v>9</v>
      </c>
      <c r="F416">
        <v>2331</v>
      </c>
      <c r="G416" t="s">
        <v>17</v>
      </c>
      <c r="H416" t="s">
        <v>116</v>
      </c>
    </row>
    <row r="417" spans="1:8" x14ac:dyDescent="0.3">
      <c r="A417">
        <v>416</v>
      </c>
      <c r="B417" s="1">
        <v>45812</v>
      </c>
      <c r="C417" s="2">
        <v>0.53194444444444444</v>
      </c>
      <c r="D417" t="s">
        <v>22</v>
      </c>
      <c r="E417" t="s">
        <v>23</v>
      </c>
      <c r="F417">
        <v>5000</v>
      </c>
      <c r="G417" t="s">
        <v>81</v>
      </c>
      <c r="H417" t="s">
        <v>116</v>
      </c>
    </row>
    <row r="418" spans="1:8" x14ac:dyDescent="0.3">
      <c r="A418">
        <v>417</v>
      </c>
      <c r="B418" s="1">
        <v>45812</v>
      </c>
      <c r="C418" s="2">
        <v>0.56874999999999998</v>
      </c>
      <c r="D418" t="s">
        <v>8</v>
      </c>
      <c r="E418" t="s">
        <v>9</v>
      </c>
      <c r="F418">
        <v>3000</v>
      </c>
      <c r="G418" t="s">
        <v>43</v>
      </c>
      <c r="H418" t="s">
        <v>116</v>
      </c>
    </row>
    <row r="419" spans="1:8" x14ac:dyDescent="0.3">
      <c r="A419">
        <v>418</v>
      </c>
      <c r="B419" s="1">
        <v>45812</v>
      </c>
      <c r="C419" s="2">
        <v>0.76180555555555551</v>
      </c>
      <c r="D419" t="s">
        <v>8</v>
      </c>
      <c r="E419" t="s">
        <v>9</v>
      </c>
      <c r="F419">
        <v>10000</v>
      </c>
      <c r="G419" t="s">
        <v>59</v>
      </c>
      <c r="H419" t="s">
        <v>116</v>
      </c>
    </row>
    <row r="420" spans="1:8" x14ac:dyDescent="0.3">
      <c r="A420">
        <v>419</v>
      </c>
      <c r="B420" s="1">
        <v>45812</v>
      </c>
      <c r="C420" s="2">
        <v>0.78472222222222221</v>
      </c>
      <c r="D420" t="s">
        <v>8</v>
      </c>
      <c r="E420" t="s">
        <v>9</v>
      </c>
      <c r="F420">
        <v>2500</v>
      </c>
      <c r="G420" t="s">
        <v>118</v>
      </c>
      <c r="H420" t="s">
        <v>116</v>
      </c>
    </row>
    <row r="421" spans="1:8" x14ac:dyDescent="0.3">
      <c r="A421">
        <v>420</v>
      </c>
      <c r="B421" s="1">
        <v>45813</v>
      </c>
      <c r="C421" s="2">
        <v>0.39027777777777778</v>
      </c>
      <c r="D421" t="s">
        <v>8</v>
      </c>
      <c r="E421" t="s">
        <v>9</v>
      </c>
      <c r="F421">
        <v>1</v>
      </c>
      <c r="G421" t="s">
        <v>30</v>
      </c>
      <c r="H421" t="s">
        <v>116</v>
      </c>
    </row>
    <row r="422" spans="1:8" x14ac:dyDescent="0.3">
      <c r="A422">
        <v>421</v>
      </c>
      <c r="B422" s="1">
        <v>45813</v>
      </c>
      <c r="C422" s="2">
        <v>0.82152777777777775</v>
      </c>
      <c r="D422" t="s">
        <v>22</v>
      </c>
      <c r="E422" t="s">
        <v>23</v>
      </c>
      <c r="F422">
        <v>4000</v>
      </c>
      <c r="G422" t="s">
        <v>59</v>
      </c>
      <c r="H422" t="s">
        <v>116</v>
      </c>
    </row>
    <row r="423" spans="1:8" x14ac:dyDescent="0.3">
      <c r="A423">
        <v>422</v>
      </c>
      <c r="B423" s="1">
        <v>45814</v>
      </c>
      <c r="C423" s="2">
        <v>0.47847222222222224</v>
      </c>
      <c r="D423" t="s">
        <v>22</v>
      </c>
      <c r="E423" t="s">
        <v>23</v>
      </c>
      <c r="F423">
        <v>1500</v>
      </c>
      <c r="G423" t="s">
        <v>118</v>
      </c>
      <c r="H423" t="s">
        <v>116</v>
      </c>
    </row>
    <row r="424" spans="1:8" x14ac:dyDescent="0.3">
      <c r="A424">
        <v>423</v>
      </c>
      <c r="B424" s="1">
        <v>45814</v>
      </c>
      <c r="C424" s="2">
        <v>0.47986111111111113</v>
      </c>
      <c r="D424" t="s">
        <v>8</v>
      </c>
      <c r="E424" t="s">
        <v>9</v>
      </c>
      <c r="F424">
        <v>1500</v>
      </c>
      <c r="G424" t="s">
        <v>21</v>
      </c>
      <c r="H424" t="s">
        <v>116</v>
      </c>
    </row>
    <row r="425" spans="1:8" x14ac:dyDescent="0.3">
      <c r="A425">
        <v>424</v>
      </c>
      <c r="B425" s="1">
        <v>45814</v>
      </c>
      <c r="C425" s="2">
        <v>0.54027777777777775</v>
      </c>
      <c r="D425" t="s">
        <v>22</v>
      </c>
      <c r="E425" t="s">
        <v>23</v>
      </c>
      <c r="F425">
        <v>100</v>
      </c>
      <c r="G425" t="s">
        <v>29</v>
      </c>
      <c r="H425" t="s">
        <v>116</v>
      </c>
    </row>
    <row r="426" spans="1:8" x14ac:dyDescent="0.3">
      <c r="A426">
        <v>425</v>
      </c>
      <c r="B426" s="1">
        <v>45814</v>
      </c>
      <c r="C426" s="2">
        <v>0.85555555555555551</v>
      </c>
      <c r="D426" t="s">
        <v>8</v>
      </c>
      <c r="E426" t="s">
        <v>9</v>
      </c>
      <c r="F426">
        <v>2000</v>
      </c>
      <c r="G426" t="s">
        <v>117</v>
      </c>
      <c r="H426" t="s">
        <v>116</v>
      </c>
    </row>
    <row r="427" spans="1:8" x14ac:dyDescent="0.3">
      <c r="A427">
        <v>426</v>
      </c>
      <c r="B427" s="1">
        <v>45814</v>
      </c>
      <c r="C427" s="2">
        <v>0.85763888888888884</v>
      </c>
      <c r="D427" t="s">
        <v>16</v>
      </c>
      <c r="E427" t="s">
        <v>9</v>
      </c>
      <c r="F427">
        <v>100</v>
      </c>
      <c r="G427" t="s">
        <v>17</v>
      </c>
      <c r="H427" t="s">
        <v>116</v>
      </c>
    </row>
    <row r="428" spans="1:8" x14ac:dyDescent="0.3">
      <c r="A428">
        <v>427</v>
      </c>
      <c r="B428" s="1">
        <v>45814</v>
      </c>
      <c r="C428" s="2">
        <v>0.86041666666666672</v>
      </c>
      <c r="D428" t="s">
        <v>8</v>
      </c>
      <c r="E428" t="s">
        <v>9</v>
      </c>
      <c r="F428">
        <v>2673</v>
      </c>
      <c r="G428" t="s">
        <v>91</v>
      </c>
      <c r="H428" t="s">
        <v>116</v>
      </c>
    </row>
    <row r="429" spans="1:8" x14ac:dyDescent="0.3">
      <c r="A429">
        <v>428</v>
      </c>
      <c r="B429" s="1">
        <v>45815</v>
      </c>
      <c r="C429" s="2">
        <v>0.60416666666666663</v>
      </c>
      <c r="D429" t="s">
        <v>22</v>
      </c>
      <c r="E429" t="s">
        <v>23</v>
      </c>
      <c r="F429">
        <v>1000</v>
      </c>
      <c r="G429" t="s">
        <v>118</v>
      </c>
      <c r="H429" t="s">
        <v>116</v>
      </c>
    </row>
    <row r="430" spans="1:8" x14ac:dyDescent="0.3">
      <c r="A430">
        <v>429</v>
      </c>
      <c r="B430" s="1">
        <v>45815</v>
      </c>
      <c r="C430" s="2">
        <v>0.60416666666666663</v>
      </c>
      <c r="D430" t="s">
        <v>8</v>
      </c>
      <c r="E430" t="s">
        <v>9</v>
      </c>
      <c r="F430">
        <v>1000</v>
      </c>
      <c r="G430" t="s">
        <v>21</v>
      </c>
      <c r="H430" t="s">
        <v>116</v>
      </c>
    </row>
    <row r="431" spans="1:8" x14ac:dyDescent="0.3">
      <c r="A431">
        <v>430</v>
      </c>
      <c r="B431" s="1">
        <v>45815</v>
      </c>
      <c r="C431" s="2">
        <v>0.7055555555555556</v>
      </c>
      <c r="D431" t="s">
        <v>38</v>
      </c>
      <c r="E431" t="s">
        <v>9</v>
      </c>
      <c r="F431">
        <v>740</v>
      </c>
      <c r="G431" t="s">
        <v>119</v>
      </c>
      <c r="H431" t="s">
        <v>116</v>
      </c>
    </row>
    <row r="432" spans="1:8" x14ac:dyDescent="0.3">
      <c r="A432">
        <v>431</v>
      </c>
      <c r="B432" s="1">
        <v>45815</v>
      </c>
      <c r="C432" s="2">
        <v>0.94236111111111109</v>
      </c>
      <c r="D432" t="s">
        <v>8</v>
      </c>
      <c r="E432" t="s">
        <v>9</v>
      </c>
      <c r="F432">
        <v>29</v>
      </c>
      <c r="G432" t="s">
        <v>21</v>
      </c>
      <c r="H432" t="s">
        <v>116</v>
      </c>
    </row>
    <row r="433" spans="1:8" x14ac:dyDescent="0.3">
      <c r="A433">
        <v>432</v>
      </c>
      <c r="B433" s="1">
        <v>45816</v>
      </c>
      <c r="C433" s="2">
        <v>0.78055555555555556</v>
      </c>
      <c r="D433" t="s">
        <v>8</v>
      </c>
      <c r="E433" t="s">
        <v>9</v>
      </c>
      <c r="F433">
        <v>1000</v>
      </c>
      <c r="G433" t="s">
        <v>120</v>
      </c>
      <c r="H433" t="s">
        <v>116</v>
      </c>
    </row>
    <row r="434" spans="1:8" x14ac:dyDescent="0.3">
      <c r="A434">
        <v>433</v>
      </c>
      <c r="B434" s="1">
        <v>45817</v>
      </c>
      <c r="C434" s="2">
        <v>0.44583333333333336</v>
      </c>
      <c r="D434" t="s">
        <v>22</v>
      </c>
      <c r="E434" t="s">
        <v>23</v>
      </c>
      <c r="F434">
        <v>5</v>
      </c>
      <c r="G434" t="s">
        <v>68</v>
      </c>
      <c r="H434" t="s">
        <v>116</v>
      </c>
    </row>
    <row r="435" spans="1:8" x14ac:dyDescent="0.3">
      <c r="A435">
        <v>434</v>
      </c>
      <c r="B435" s="1">
        <v>45818</v>
      </c>
      <c r="C435" s="2">
        <v>0.81736111111111109</v>
      </c>
      <c r="D435" t="s">
        <v>22</v>
      </c>
      <c r="E435" t="s">
        <v>23</v>
      </c>
      <c r="F435">
        <v>50</v>
      </c>
      <c r="G435" t="s">
        <v>59</v>
      </c>
      <c r="H435" t="s">
        <v>116</v>
      </c>
    </row>
    <row r="436" spans="1:8" x14ac:dyDescent="0.3">
      <c r="A436">
        <v>435</v>
      </c>
      <c r="B436" s="1">
        <v>45819</v>
      </c>
      <c r="C436" s="2">
        <v>0.55486111111111114</v>
      </c>
      <c r="D436" t="s">
        <v>38</v>
      </c>
      <c r="E436" t="s">
        <v>9</v>
      </c>
      <c r="F436">
        <v>103.96</v>
      </c>
      <c r="G436" t="s">
        <v>121</v>
      </c>
      <c r="H436" t="s">
        <v>116</v>
      </c>
    </row>
    <row r="437" spans="1:8" x14ac:dyDescent="0.3">
      <c r="A437">
        <v>436</v>
      </c>
      <c r="B437" s="1">
        <v>45819</v>
      </c>
      <c r="C437" s="2">
        <v>0.56666666666666665</v>
      </c>
      <c r="D437" t="s">
        <v>8</v>
      </c>
      <c r="E437" t="s">
        <v>9</v>
      </c>
      <c r="F437">
        <v>187.9</v>
      </c>
      <c r="G437" t="s">
        <v>45</v>
      </c>
      <c r="H437" t="s">
        <v>116</v>
      </c>
    </row>
    <row r="438" spans="1:8" x14ac:dyDescent="0.3">
      <c r="A438">
        <v>437</v>
      </c>
      <c r="B438" s="1">
        <v>45819</v>
      </c>
      <c r="C438" s="2">
        <v>0.67500000000000004</v>
      </c>
      <c r="D438" t="s">
        <v>22</v>
      </c>
      <c r="E438" t="s">
        <v>23</v>
      </c>
      <c r="F438">
        <v>200</v>
      </c>
      <c r="G438" t="s">
        <v>122</v>
      </c>
      <c r="H438" t="s">
        <v>116</v>
      </c>
    </row>
    <row r="439" spans="1:8" x14ac:dyDescent="0.3">
      <c r="A439">
        <v>438</v>
      </c>
      <c r="B439" s="1">
        <v>45820</v>
      </c>
      <c r="C439" s="2">
        <v>0.50763888888888886</v>
      </c>
      <c r="D439" t="s">
        <v>8</v>
      </c>
      <c r="E439" t="s">
        <v>9</v>
      </c>
      <c r="F439">
        <v>40</v>
      </c>
      <c r="G439" t="s">
        <v>123</v>
      </c>
      <c r="H439" t="s">
        <v>116</v>
      </c>
    </row>
    <row r="440" spans="1:8" x14ac:dyDescent="0.3">
      <c r="A440">
        <v>439</v>
      </c>
      <c r="B440" s="1">
        <v>45820</v>
      </c>
      <c r="C440" s="2">
        <v>0.62013888888888891</v>
      </c>
      <c r="D440" t="s">
        <v>8</v>
      </c>
      <c r="E440" t="s">
        <v>9</v>
      </c>
      <c r="F440">
        <v>140</v>
      </c>
      <c r="G440" t="s">
        <v>124</v>
      </c>
      <c r="H440" t="s">
        <v>116</v>
      </c>
    </row>
    <row r="441" spans="1:8" x14ac:dyDescent="0.3">
      <c r="A441">
        <v>440</v>
      </c>
      <c r="B441" s="1">
        <v>45821</v>
      </c>
      <c r="C441" s="2">
        <v>0.32569444444444445</v>
      </c>
      <c r="D441" t="s">
        <v>8</v>
      </c>
      <c r="E441" t="s">
        <v>9</v>
      </c>
      <c r="F441">
        <v>100</v>
      </c>
      <c r="G441" t="s">
        <v>30</v>
      </c>
      <c r="H441" t="s">
        <v>116</v>
      </c>
    </row>
    <row r="442" spans="1:8" x14ac:dyDescent="0.3">
      <c r="A442">
        <v>441</v>
      </c>
      <c r="B442" s="1">
        <v>45821</v>
      </c>
      <c r="C442" s="2">
        <v>0.32777777777777778</v>
      </c>
      <c r="D442" t="s">
        <v>22</v>
      </c>
      <c r="E442" t="s">
        <v>23</v>
      </c>
      <c r="F442">
        <v>100</v>
      </c>
      <c r="G442" t="s">
        <v>30</v>
      </c>
      <c r="H442" t="s">
        <v>116</v>
      </c>
    </row>
    <row r="443" spans="1:8" x14ac:dyDescent="0.3">
      <c r="A443">
        <v>442</v>
      </c>
      <c r="B443" s="1">
        <v>45821</v>
      </c>
      <c r="C443" s="2">
        <v>0.32847222222222222</v>
      </c>
      <c r="D443" t="s">
        <v>22</v>
      </c>
      <c r="E443" t="s">
        <v>23</v>
      </c>
      <c r="F443">
        <v>200</v>
      </c>
      <c r="G443" t="s">
        <v>30</v>
      </c>
      <c r="H443" t="s">
        <v>116</v>
      </c>
    </row>
    <row r="444" spans="1:8" x14ac:dyDescent="0.3">
      <c r="A444">
        <v>443</v>
      </c>
      <c r="B444" s="1">
        <v>45821</v>
      </c>
      <c r="C444" s="2">
        <v>0.3298611111111111</v>
      </c>
      <c r="D444" t="s">
        <v>22</v>
      </c>
      <c r="E444" t="s">
        <v>23</v>
      </c>
      <c r="F444">
        <v>400</v>
      </c>
      <c r="G444" t="s">
        <v>30</v>
      </c>
      <c r="H444" t="s">
        <v>116</v>
      </c>
    </row>
    <row r="445" spans="1:8" x14ac:dyDescent="0.3">
      <c r="A445">
        <v>444</v>
      </c>
      <c r="B445" s="1">
        <v>45821</v>
      </c>
      <c r="C445" s="2">
        <v>0.97499999999999998</v>
      </c>
      <c r="D445" t="s">
        <v>22</v>
      </c>
      <c r="E445" t="s">
        <v>23</v>
      </c>
      <c r="F445">
        <v>15</v>
      </c>
      <c r="G445" t="s">
        <v>10</v>
      </c>
      <c r="H445" t="s">
        <v>116</v>
      </c>
    </row>
    <row r="446" spans="1:8" x14ac:dyDescent="0.3">
      <c r="A446">
        <v>445</v>
      </c>
      <c r="B446" s="1">
        <v>45822</v>
      </c>
      <c r="C446" s="2">
        <v>0.39097222222222222</v>
      </c>
      <c r="D446" t="s">
        <v>22</v>
      </c>
      <c r="E446" t="s">
        <v>23</v>
      </c>
      <c r="F446">
        <v>1000</v>
      </c>
      <c r="G446" t="s">
        <v>59</v>
      </c>
      <c r="H446" t="s">
        <v>116</v>
      </c>
    </row>
    <row r="447" spans="1:8" x14ac:dyDescent="0.3">
      <c r="A447">
        <v>446</v>
      </c>
      <c r="B447" s="1">
        <v>45822</v>
      </c>
      <c r="C447" s="2">
        <v>0.40208333333333335</v>
      </c>
      <c r="D447" t="s">
        <v>8</v>
      </c>
      <c r="E447" t="s">
        <v>9</v>
      </c>
      <c r="F447">
        <v>1000</v>
      </c>
      <c r="G447" t="s">
        <v>120</v>
      </c>
      <c r="H447" t="s">
        <v>116</v>
      </c>
    </row>
    <row r="448" spans="1:8" x14ac:dyDescent="0.3">
      <c r="A448">
        <v>447</v>
      </c>
      <c r="B448" s="1">
        <v>45822</v>
      </c>
      <c r="C448" s="2">
        <v>0.84791666666666665</v>
      </c>
      <c r="D448" t="s">
        <v>8</v>
      </c>
      <c r="E448" t="s">
        <v>9</v>
      </c>
      <c r="F448">
        <v>1500</v>
      </c>
      <c r="G448" t="s">
        <v>91</v>
      </c>
      <c r="H448" t="s">
        <v>116</v>
      </c>
    </row>
    <row r="449" spans="1:8" x14ac:dyDescent="0.3">
      <c r="A449">
        <v>448</v>
      </c>
      <c r="B449" s="1">
        <v>45823</v>
      </c>
      <c r="C449" s="2">
        <v>0.45555555555555555</v>
      </c>
      <c r="D449" t="s">
        <v>22</v>
      </c>
      <c r="E449" t="s">
        <v>23</v>
      </c>
      <c r="F449">
        <v>200</v>
      </c>
      <c r="G449" t="s">
        <v>30</v>
      </c>
      <c r="H449" t="s">
        <v>116</v>
      </c>
    </row>
    <row r="450" spans="1:8" x14ac:dyDescent="0.3">
      <c r="A450">
        <v>449</v>
      </c>
      <c r="B450" s="1">
        <v>45824</v>
      </c>
      <c r="C450" s="2">
        <v>0.6069444444444444</v>
      </c>
      <c r="D450" t="s">
        <v>8</v>
      </c>
      <c r="E450" t="s">
        <v>9</v>
      </c>
      <c r="F450">
        <v>50</v>
      </c>
      <c r="G450" t="s">
        <v>59</v>
      </c>
      <c r="H450" t="s">
        <v>116</v>
      </c>
    </row>
    <row r="451" spans="1:8" x14ac:dyDescent="0.3">
      <c r="A451">
        <v>450</v>
      </c>
      <c r="B451" s="1">
        <v>45825</v>
      </c>
      <c r="C451" s="2">
        <v>0.34513888888888888</v>
      </c>
      <c r="D451" t="s">
        <v>22</v>
      </c>
      <c r="E451" t="s">
        <v>23</v>
      </c>
      <c r="F451">
        <v>2500</v>
      </c>
      <c r="G451" t="s">
        <v>30</v>
      </c>
      <c r="H451" t="s">
        <v>116</v>
      </c>
    </row>
    <row r="452" spans="1:8" x14ac:dyDescent="0.3">
      <c r="A452">
        <v>451</v>
      </c>
      <c r="B452" s="1">
        <v>45825</v>
      </c>
      <c r="C452" s="2">
        <v>0.37777777777777777</v>
      </c>
      <c r="D452" t="s">
        <v>8</v>
      </c>
      <c r="E452" t="s">
        <v>9</v>
      </c>
      <c r="F452">
        <v>2500</v>
      </c>
      <c r="G452" t="s">
        <v>21</v>
      </c>
      <c r="H452" t="s">
        <v>116</v>
      </c>
    </row>
    <row r="453" spans="1:8" x14ac:dyDescent="0.3">
      <c r="A453">
        <v>452</v>
      </c>
      <c r="B453" s="1">
        <v>45825</v>
      </c>
      <c r="C453" s="2">
        <v>0.63958333333333328</v>
      </c>
      <c r="D453" t="s">
        <v>8</v>
      </c>
      <c r="E453" t="s">
        <v>9</v>
      </c>
      <c r="F453">
        <v>30</v>
      </c>
      <c r="G453" t="s">
        <v>59</v>
      </c>
      <c r="H453" t="s">
        <v>116</v>
      </c>
    </row>
    <row r="454" spans="1:8" x14ac:dyDescent="0.3">
      <c r="A454">
        <v>453</v>
      </c>
      <c r="B454" s="1">
        <v>45825</v>
      </c>
      <c r="C454" s="2">
        <v>0.97291666666666665</v>
      </c>
      <c r="D454" t="s">
        <v>22</v>
      </c>
      <c r="E454" t="s">
        <v>23</v>
      </c>
      <c r="F454">
        <v>500</v>
      </c>
      <c r="G454" t="s">
        <v>59</v>
      </c>
      <c r="H454" t="s">
        <v>116</v>
      </c>
    </row>
    <row r="455" spans="1:8" x14ac:dyDescent="0.3">
      <c r="A455">
        <v>454</v>
      </c>
      <c r="B455" s="1">
        <v>45827</v>
      </c>
      <c r="C455" s="2">
        <v>0.51041666666666663</v>
      </c>
      <c r="D455" t="s">
        <v>8</v>
      </c>
      <c r="E455" t="s">
        <v>9</v>
      </c>
      <c r="F455">
        <v>60</v>
      </c>
      <c r="G455" t="s">
        <v>24</v>
      </c>
      <c r="H455" t="s">
        <v>116</v>
      </c>
    </row>
    <row r="456" spans="1:8" x14ac:dyDescent="0.3">
      <c r="A456">
        <v>455</v>
      </c>
      <c r="B456" s="1">
        <v>45827</v>
      </c>
      <c r="C456" s="2">
        <v>0.53263888888888888</v>
      </c>
      <c r="D456" t="s">
        <v>8</v>
      </c>
      <c r="E456" t="s">
        <v>9</v>
      </c>
      <c r="F456">
        <v>10000</v>
      </c>
      <c r="G456" t="s">
        <v>20</v>
      </c>
      <c r="H456" t="s">
        <v>116</v>
      </c>
    </row>
    <row r="457" spans="1:8" x14ac:dyDescent="0.3">
      <c r="A457">
        <v>456</v>
      </c>
      <c r="B457" s="1">
        <v>45827</v>
      </c>
      <c r="C457" s="2">
        <v>0.53263888888888888</v>
      </c>
      <c r="D457" t="s">
        <v>18</v>
      </c>
      <c r="E457" t="s">
        <v>9</v>
      </c>
      <c r="F457">
        <v>10000</v>
      </c>
      <c r="G457" t="s">
        <v>125</v>
      </c>
      <c r="H457" t="s">
        <v>116</v>
      </c>
    </row>
    <row r="458" spans="1:8" x14ac:dyDescent="0.3">
      <c r="A458">
        <v>457</v>
      </c>
      <c r="B458" s="1">
        <v>45827</v>
      </c>
      <c r="C458" s="2">
        <v>0.72430555555555554</v>
      </c>
      <c r="D458" t="s">
        <v>16</v>
      </c>
      <c r="E458" t="s">
        <v>9</v>
      </c>
      <c r="F458">
        <v>500</v>
      </c>
      <c r="G458" t="s">
        <v>17</v>
      </c>
      <c r="H458" t="s">
        <v>116</v>
      </c>
    </row>
    <row r="459" spans="1:8" x14ac:dyDescent="0.3">
      <c r="A459">
        <v>458</v>
      </c>
      <c r="B459" s="1">
        <v>45827</v>
      </c>
      <c r="C459" s="2">
        <v>0.7583333333333333</v>
      </c>
      <c r="D459" t="s">
        <v>22</v>
      </c>
      <c r="E459" t="s">
        <v>23</v>
      </c>
      <c r="F459">
        <v>60</v>
      </c>
      <c r="G459" t="s">
        <v>126</v>
      </c>
      <c r="H459" t="s">
        <v>116</v>
      </c>
    </row>
    <row r="460" spans="1:8" x14ac:dyDescent="0.3">
      <c r="A460">
        <v>459</v>
      </c>
      <c r="B460" s="1">
        <v>45828</v>
      </c>
      <c r="C460" s="2">
        <v>0.43680555555555556</v>
      </c>
      <c r="D460" t="s">
        <v>22</v>
      </c>
      <c r="E460" t="s">
        <v>23</v>
      </c>
      <c r="F460">
        <v>2000</v>
      </c>
      <c r="G460" t="s">
        <v>127</v>
      </c>
      <c r="H460" t="s">
        <v>116</v>
      </c>
    </row>
    <row r="461" spans="1:8" x14ac:dyDescent="0.3">
      <c r="A461">
        <v>460</v>
      </c>
      <c r="B461" s="1">
        <v>45828</v>
      </c>
      <c r="C461" s="2">
        <v>0.50277777777777777</v>
      </c>
      <c r="D461" t="s">
        <v>8</v>
      </c>
      <c r="E461" t="s">
        <v>9</v>
      </c>
      <c r="F461">
        <v>1645</v>
      </c>
      <c r="G461" t="s">
        <v>128</v>
      </c>
      <c r="H461" t="s">
        <v>116</v>
      </c>
    </row>
    <row r="462" spans="1:8" x14ac:dyDescent="0.3">
      <c r="A462">
        <v>461</v>
      </c>
      <c r="B462" s="1">
        <v>45828</v>
      </c>
      <c r="C462" s="2">
        <v>0.5395833333333333</v>
      </c>
      <c r="D462" t="s">
        <v>8</v>
      </c>
      <c r="E462" t="s">
        <v>9</v>
      </c>
      <c r="F462">
        <v>140</v>
      </c>
      <c r="G462" t="s">
        <v>129</v>
      </c>
      <c r="H462" t="s">
        <v>116</v>
      </c>
    </row>
    <row r="463" spans="1:8" x14ac:dyDescent="0.3">
      <c r="A463">
        <v>462</v>
      </c>
      <c r="B463" s="1">
        <v>45828</v>
      </c>
      <c r="C463" s="2">
        <v>0.54861111111111116</v>
      </c>
      <c r="D463" t="s">
        <v>8</v>
      </c>
      <c r="E463" t="s">
        <v>9</v>
      </c>
      <c r="F463">
        <v>70</v>
      </c>
      <c r="G463" t="s">
        <v>129</v>
      </c>
      <c r="H463" t="s">
        <v>116</v>
      </c>
    </row>
    <row r="464" spans="1:8" x14ac:dyDescent="0.3">
      <c r="A464">
        <v>463</v>
      </c>
      <c r="B464" s="1">
        <v>45828</v>
      </c>
      <c r="C464" s="2">
        <v>0.55069444444444449</v>
      </c>
      <c r="D464" t="s">
        <v>8</v>
      </c>
      <c r="E464" t="s">
        <v>9</v>
      </c>
      <c r="F464">
        <v>70</v>
      </c>
      <c r="G464" t="s">
        <v>129</v>
      </c>
      <c r="H464" t="s">
        <v>116</v>
      </c>
    </row>
    <row r="465" spans="1:8" x14ac:dyDescent="0.3">
      <c r="A465">
        <v>464</v>
      </c>
      <c r="B465" s="1">
        <v>45828</v>
      </c>
      <c r="C465" s="2">
        <v>0.55625000000000002</v>
      </c>
      <c r="D465" t="s">
        <v>16</v>
      </c>
      <c r="E465" t="s">
        <v>9</v>
      </c>
      <c r="F465">
        <v>70</v>
      </c>
      <c r="G465" t="s">
        <v>17</v>
      </c>
      <c r="H465" t="s">
        <v>116</v>
      </c>
    </row>
    <row r="466" spans="1:8" x14ac:dyDescent="0.3">
      <c r="A466">
        <v>465</v>
      </c>
      <c r="B466" s="1">
        <v>45830</v>
      </c>
      <c r="C466" s="2">
        <v>0.75902777777777775</v>
      </c>
      <c r="D466" t="s">
        <v>22</v>
      </c>
      <c r="E466" t="s">
        <v>23</v>
      </c>
      <c r="F466">
        <v>40</v>
      </c>
      <c r="G466" t="s">
        <v>26</v>
      </c>
      <c r="H466" t="s">
        <v>116</v>
      </c>
    </row>
    <row r="467" spans="1:8" x14ac:dyDescent="0.3">
      <c r="A467">
        <v>466</v>
      </c>
      <c r="B467" s="1">
        <v>45830</v>
      </c>
      <c r="C467" s="2">
        <v>0.76180555555555551</v>
      </c>
      <c r="D467" t="s">
        <v>8</v>
      </c>
      <c r="E467" t="s">
        <v>9</v>
      </c>
      <c r="F467">
        <v>40</v>
      </c>
      <c r="G467" t="s">
        <v>29</v>
      </c>
      <c r="H467" t="s">
        <v>116</v>
      </c>
    </row>
    <row r="468" spans="1:8" x14ac:dyDescent="0.3">
      <c r="A468">
        <v>467</v>
      </c>
      <c r="B468" s="1">
        <v>45830</v>
      </c>
      <c r="C468" s="2">
        <v>0.87222222222222223</v>
      </c>
      <c r="D468" t="s">
        <v>22</v>
      </c>
      <c r="E468" t="s">
        <v>23</v>
      </c>
      <c r="F468">
        <v>30</v>
      </c>
      <c r="G468" t="s">
        <v>12</v>
      </c>
      <c r="H468" t="s">
        <v>116</v>
      </c>
    </row>
    <row r="469" spans="1:8" x14ac:dyDescent="0.3">
      <c r="A469">
        <v>468</v>
      </c>
      <c r="B469" s="1">
        <v>45832</v>
      </c>
      <c r="C469" s="2">
        <v>0.67222222222222228</v>
      </c>
      <c r="D469" t="s">
        <v>22</v>
      </c>
      <c r="E469" t="s">
        <v>23</v>
      </c>
      <c r="F469">
        <v>1000</v>
      </c>
      <c r="G469" t="s">
        <v>10</v>
      </c>
      <c r="H469" t="s">
        <v>116</v>
      </c>
    </row>
    <row r="470" spans="1:8" x14ac:dyDescent="0.3">
      <c r="A470">
        <v>469</v>
      </c>
      <c r="B470" s="1">
        <v>45832</v>
      </c>
      <c r="C470" s="2">
        <v>0.67291666666666672</v>
      </c>
      <c r="D470" t="s">
        <v>22</v>
      </c>
      <c r="E470" t="s">
        <v>23</v>
      </c>
      <c r="F470">
        <v>1000</v>
      </c>
      <c r="G470" t="s">
        <v>10</v>
      </c>
      <c r="H470" t="s">
        <v>116</v>
      </c>
    </row>
    <row r="471" spans="1:8" x14ac:dyDescent="0.3">
      <c r="A471">
        <v>470</v>
      </c>
      <c r="B471" s="1">
        <v>45832</v>
      </c>
      <c r="C471" s="2">
        <v>0.68194444444444446</v>
      </c>
      <c r="D471" t="s">
        <v>22</v>
      </c>
      <c r="E471" t="s">
        <v>23</v>
      </c>
      <c r="F471">
        <v>240</v>
      </c>
      <c r="G471" t="s">
        <v>10</v>
      </c>
      <c r="H471" t="s">
        <v>116</v>
      </c>
    </row>
    <row r="472" spans="1:8" x14ac:dyDescent="0.3">
      <c r="A472">
        <v>471</v>
      </c>
      <c r="B472" s="1">
        <v>45832</v>
      </c>
      <c r="C472" s="2">
        <v>0.68263888888888891</v>
      </c>
      <c r="D472" t="s">
        <v>22</v>
      </c>
      <c r="E472" t="s">
        <v>23</v>
      </c>
      <c r="F472">
        <v>200</v>
      </c>
      <c r="G472" t="s">
        <v>10</v>
      </c>
      <c r="H472" t="s">
        <v>116</v>
      </c>
    </row>
    <row r="473" spans="1:8" x14ac:dyDescent="0.3">
      <c r="A473">
        <v>472</v>
      </c>
      <c r="B473" s="1">
        <v>45832</v>
      </c>
      <c r="C473" s="2">
        <v>0.875</v>
      </c>
      <c r="D473" t="s">
        <v>22</v>
      </c>
      <c r="E473" t="s">
        <v>23</v>
      </c>
      <c r="F473">
        <v>29</v>
      </c>
      <c r="G473" t="s">
        <v>12</v>
      </c>
      <c r="H473" t="s">
        <v>116</v>
      </c>
    </row>
    <row r="474" spans="1:8" x14ac:dyDescent="0.3">
      <c r="A474">
        <v>473</v>
      </c>
      <c r="B474" s="1">
        <v>45834</v>
      </c>
      <c r="C474" s="2">
        <v>0.40902777777777777</v>
      </c>
      <c r="D474" t="s">
        <v>8</v>
      </c>
      <c r="E474" t="s">
        <v>9</v>
      </c>
      <c r="F474">
        <v>3000</v>
      </c>
      <c r="G474" t="s">
        <v>109</v>
      </c>
      <c r="H474" t="s">
        <v>116</v>
      </c>
    </row>
    <row r="475" spans="1:8" x14ac:dyDescent="0.3">
      <c r="A475">
        <v>474</v>
      </c>
      <c r="B475" s="1">
        <v>45834</v>
      </c>
      <c r="C475" s="2">
        <v>0.70277777777777772</v>
      </c>
      <c r="D475" t="s">
        <v>49</v>
      </c>
      <c r="E475" t="s">
        <v>9</v>
      </c>
      <c r="F475">
        <v>104</v>
      </c>
      <c r="G475" t="s">
        <v>50</v>
      </c>
      <c r="H475" t="s">
        <v>116</v>
      </c>
    </row>
    <row r="476" spans="1:8" x14ac:dyDescent="0.3">
      <c r="A476">
        <v>475</v>
      </c>
      <c r="B476" s="1">
        <v>45837</v>
      </c>
      <c r="C476" s="2">
        <v>0.48819444444444443</v>
      </c>
      <c r="D476" t="s">
        <v>8</v>
      </c>
      <c r="E476" t="s">
        <v>9</v>
      </c>
      <c r="F476">
        <v>300</v>
      </c>
      <c r="G476" t="s">
        <v>130</v>
      </c>
      <c r="H476" t="s">
        <v>116</v>
      </c>
    </row>
    <row r="477" spans="1:8" x14ac:dyDescent="0.3">
      <c r="A477">
        <v>476</v>
      </c>
      <c r="B477" s="1">
        <v>45839</v>
      </c>
      <c r="C477" s="2">
        <v>0.78125</v>
      </c>
      <c r="D477" t="s">
        <v>22</v>
      </c>
      <c r="E477" t="s">
        <v>23</v>
      </c>
      <c r="F477">
        <v>2000</v>
      </c>
      <c r="G477" t="s">
        <v>95</v>
      </c>
      <c r="H477" t="s">
        <v>131</v>
      </c>
    </row>
    <row r="478" spans="1:8" x14ac:dyDescent="0.3">
      <c r="A478">
        <v>477</v>
      </c>
      <c r="B478" s="1">
        <v>45839</v>
      </c>
      <c r="C478" s="2">
        <v>0.90277777777777779</v>
      </c>
      <c r="D478" t="s">
        <v>22</v>
      </c>
      <c r="E478" t="s">
        <v>23</v>
      </c>
      <c r="F478">
        <v>180</v>
      </c>
      <c r="G478" t="s">
        <v>30</v>
      </c>
      <c r="H478" t="s">
        <v>131</v>
      </c>
    </row>
    <row r="479" spans="1:8" x14ac:dyDescent="0.3">
      <c r="A479">
        <v>478</v>
      </c>
      <c r="B479" s="1">
        <v>45840</v>
      </c>
      <c r="C479" s="2">
        <v>0.41736111111111113</v>
      </c>
      <c r="D479" t="s">
        <v>8</v>
      </c>
      <c r="E479" t="s">
        <v>9</v>
      </c>
      <c r="F479">
        <v>120</v>
      </c>
      <c r="G479" t="s">
        <v>74</v>
      </c>
      <c r="H479" t="s">
        <v>131</v>
      </c>
    </row>
    <row r="480" spans="1:8" x14ac:dyDescent="0.3">
      <c r="A480">
        <v>479</v>
      </c>
      <c r="B480" s="1">
        <v>45841</v>
      </c>
      <c r="C480" s="2">
        <v>2.6388888888888889E-2</v>
      </c>
      <c r="D480" t="s">
        <v>8</v>
      </c>
      <c r="E480" t="s">
        <v>9</v>
      </c>
      <c r="F480">
        <v>120</v>
      </c>
      <c r="G480" t="s">
        <v>132</v>
      </c>
      <c r="H480" t="s">
        <v>131</v>
      </c>
    </row>
    <row r="481" spans="1:8" x14ac:dyDescent="0.3">
      <c r="A481">
        <v>480</v>
      </c>
      <c r="B481" s="1">
        <v>45841</v>
      </c>
      <c r="C481" s="2">
        <v>0.45763888888888887</v>
      </c>
      <c r="D481" t="s">
        <v>8</v>
      </c>
      <c r="E481" t="s">
        <v>9</v>
      </c>
      <c r="F481">
        <v>2000</v>
      </c>
      <c r="G481" t="s">
        <v>21</v>
      </c>
      <c r="H481" t="s">
        <v>131</v>
      </c>
    </row>
    <row r="482" spans="1:8" x14ac:dyDescent="0.3">
      <c r="A482">
        <v>481</v>
      </c>
      <c r="B482" s="1">
        <v>45841</v>
      </c>
      <c r="C482" s="2">
        <v>0.46041666666666664</v>
      </c>
      <c r="D482" t="s">
        <v>8</v>
      </c>
      <c r="E482" t="s">
        <v>9</v>
      </c>
      <c r="F482">
        <v>712</v>
      </c>
      <c r="G482" t="s">
        <v>21</v>
      </c>
      <c r="H482" t="s">
        <v>131</v>
      </c>
    </row>
    <row r="483" spans="1:8" x14ac:dyDescent="0.3">
      <c r="A483">
        <v>482</v>
      </c>
      <c r="B483" s="1">
        <v>45841</v>
      </c>
      <c r="C483" s="2">
        <v>0.6791666666666667</v>
      </c>
      <c r="D483" t="s">
        <v>8</v>
      </c>
      <c r="E483" t="s">
        <v>9</v>
      </c>
      <c r="F483">
        <v>40</v>
      </c>
      <c r="G483" t="s">
        <v>133</v>
      </c>
      <c r="H483" t="s">
        <v>131</v>
      </c>
    </row>
    <row r="484" spans="1:8" x14ac:dyDescent="0.3">
      <c r="A484">
        <v>483</v>
      </c>
      <c r="B484" s="1">
        <v>45841</v>
      </c>
      <c r="C484" s="2">
        <v>0.78402777777777777</v>
      </c>
      <c r="D484" t="s">
        <v>22</v>
      </c>
      <c r="E484" t="s">
        <v>23</v>
      </c>
      <c r="F484">
        <v>1000</v>
      </c>
      <c r="G484" t="s">
        <v>95</v>
      </c>
      <c r="H484" t="s">
        <v>131</v>
      </c>
    </row>
    <row r="485" spans="1:8" x14ac:dyDescent="0.3">
      <c r="A485">
        <v>484</v>
      </c>
      <c r="B485" s="1">
        <v>45841</v>
      </c>
      <c r="C485" s="2">
        <v>0.81180555555555556</v>
      </c>
      <c r="D485" t="s">
        <v>8</v>
      </c>
      <c r="E485" t="s">
        <v>9</v>
      </c>
      <c r="F485">
        <v>1000</v>
      </c>
      <c r="G485" t="s">
        <v>21</v>
      </c>
      <c r="H485" t="s">
        <v>131</v>
      </c>
    </row>
    <row r="486" spans="1:8" x14ac:dyDescent="0.3">
      <c r="A486">
        <v>485</v>
      </c>
      <c r="B486" s="1">
        <v>45841</v>
      </c>
      <c r="C486" s="2">
        <v>0.98958333333333337</v>
      </c>
      <c r="D486" t="s">
        <v>8</v>
      </c>
      <c r="E486" t="s">
        <v>9</v>
      </c>
      <c r="F486">
        <v>5000</v>
      </c>
      <c r="G486" t="s">
        <v>74</v>
      </c>
      <c r="H486" t="s">
        <v>131</v>
      </c>
    </row>
    <row r="487" spans="1:8" x14ac:dyDescent="0.3">
      <c r="A487">
        <v>486</v>
      </c>
      <c r="B487" s="1">
        <v>45842</v>
      </c>
      <c r="C487" s="2">
        <v>0.40069444444444446</v>
      </c>
      <c r="D487" t="s">
        <v>22</v>
      </c>
      <c r="E487" t="s">
        <v>23</v>
      </c>
      <c r="F487">
        <v>5000</v>
      </c>
      <c r="G487" t="s">
        <v>74</v>
      </c>
      <c r="H487" t="s">
        <v>131</v>
      </c>
    </row>
    <row r="488" spans="1:8" x14ac:dyDescent="0.3">
      <c r="A488">
        <v>487</v>
      </c>
      <c r="B488" s="1">
        <v>45842</v>
      </c>
      <c r="C488" s="2">
        <v>0.65138888888888891</v>
      </c>
      <c r="D488" t="s">
        <v>8</v>
      </c>
      <c r="E488" t="s">
        <v>9</v>
      </c>
      <c r="F488">
        <v>59</v>
      </c>
      <c r="G488" t="s">
        <v>56</v>
      </c>
      <c r="H488" t="s">
        <v>131</v>
      </c>
    </row>
    <row r="489" spans="1:8" x14ac:dyDescent="0.3">
      <c r="A489">
        <v>488</v>
      </c>
      <c r="B489" s="1">
        <v>45842</v>
      </c>
      <c r="C489" s="2">
        <v>0.65208333333333335</v>
      </c>
      <c r="D489" t="s">
        <v>8</v>
      </c>
      <c r="E489" t="s">
        <v>9</v>
      </c>
      <c r="F489">
        <v>5</v>
      </c>
      <c r="G489" t="s">
        <v>56</v>
      </c>
      <c r="H489" t="s">
        <v>131</v>
      </c>
    </row>
    <row r="490" spans="1:8" x14ac:dyDescent="0.3">
      <c r="A490">
        <v>489</v>
      </c>
      <c r="B490" s="1">
        <v>45842</v>
      </c>
      <c r="C490" s="2">
        <v>0.65486111111111112</v>
      </c>
      <c r="D490" t="s">
        <v>22</v>
      </c>
      <c r="E490" t="s">
        <v>23</v>
      </c>
      <c r="F490">
        <v>30</v>
      </c>
      <c r="G490" t="s">
        <v>74</v>
      </c>
      <c r="H490" t="s">
        <v>131</v>
      </c>
    </row>
    <row r="491" spans="1:8" x14ac:dyDescent="0.3">
      <c r="A491">
        <v>490</v>
      </c>
      <c r="B491" s="1">
        <v>45842</v>
      </c>
      <c r="C491" s="2">
        <v>0.66249999999999998</v>
      </c>
      <c r="D491" t="s">
        <v>22</v>
      </c>
      <c r="E491" t="s">
        <v>23</v>
      </c>
      <c r="F491">
        <v>25</v>
      </c>
      <c r="G491" t="s">
        <v>134</v>
      </c>
      <c r="H491" t="s">
        <v>131</v>
      </c>
    </row>
    <row r="492" spans="1:8" x14ac:dyDescent="0.3">
      <c r="A492">
        <v>491</v>
      </c>
      <c r="B492" s="1">
        <v>45842</v>
      </c>
      <c r="C492" s="2">
        <v>0.66319444444444442</v>
      </c>
      <c r="D492" t="s">
        <v>22</v>
      </c>
      <c r="E492" t="s">
        <v>23</v>
      </c>
      <c r="F492">
        <v>30</v>
      </c>
      <c r="G492" t="s">
        <v>35</v>
      </c>
      <c r="H492" t="s">
        <v>131</v>
      </c>
    </row>
    <row r="493" spans="1:8" x14ac:dyDescent="0.3">
      <c r="A493">
        <v>492</v>
      </c>
      <c r="B493" s="1">
        <v>45843</v>
      </c>
      <c r="C493" s="2">
        <v>0.44166666666666665</v>
      </c>
      <c r="D493" t="s">
        <v>8</v>
      </c>
      <c r="E493" t="s">
        <v>9</v>
      </c>
      <c r="F493">
        <v>4000</v>
      </c>
      <c r="G493" t="s">
        <v>74</v>
      </c>
      <c r="H493" t="s">
        <v>131</v>
      </c>
    </row>
    <row r="494" spans="1:8" x14ac:dyDescent="0.3">
      <c r="A494">
        <v>493</v>
      </c>
      <c r="B494" s="1">
        <v>45843</v>
      </c>
      <c r="C494" s="2">
        <v>0.61944444444444446</v>
      </c>
      <c r="D494" t="s">
        <v>8</v>
      </c>
      <c r="E494" t="s">
        <v>9</v>
      </c>
      <c r="F494">
        <v>200</v>
      </c>
      <c r="G494" t="s">
        <v>132</v>
      </c>
      <c r="H494" t="s">
        <v>131</v>
      </c>
    </row>
    <row r="495" spans="1:8" x14ac:dyDescent="0.3">
      <c r="A495">
        <v>494</v>
      </c>
      <c r="B495" s="1">
        <v>45843</v>
      </c>
      <c r="C495" s="2">
        <v>0.80555555555555558</v>
      </c>
      <c r="D495" t="s">
        <v>8</v>
      </c>
      <c r="E495" t="s">
        <v>9</v>
      </c>
      <c r="F495">
        <v>1000</v>
      </c>
      <c r="G495" t="s">
        <v>135</v>
      </c>
      <c r="H495" t="s">
        <v>131</v>
      </c>
    </row>
    <row r="496" spans="1:8" x14ac:dyDescent="0.3">
      <c r="A496">
        <v>495</v>
      </c>
      <c r="B496" s="1">
        <v>45843</v>
      </c>
      <c r="C496" s="2">
        <v>0.90555555555555556</v>
      </c>
      <c r="D496" t="s">
        <v>8</v>
      </c>
      <c r="E496" t="s">
        <v>9</v>
      </c>
      <c r="F496">
        <v>500</v>
      </c>
      <c r="G496" t="s">
        <v>62</v>
      </c>
      <c r="H496" t="s">
        <v>131</v>
      </c>
    </row>
    <row r="497" spans="1:8" x14ac:dyDescent="0.3">
      <c r="A497">
        <v>496</v>
      </c>
      <c r="B497" s="1">
        <v>45843</v>
      </c>
      <c r="C497" s="2">
        <v>0.91527777777777775</v>
      </c>
      <c r="D497" t="s">
        <v>22</v>
      </c>
      <c r="E497" t="s">
        <v>23</v>
      </c>
      <c r="F497">
        <v>500</v>
      </c>
      <c r="G497" t="s">
        <v>62</v>
      </c>
      <c r="H497" t="s">
        <v>131</v>
      </c>
    </row>
    <row r="498" spans="1:8" x14ac:dyDescent="0.3">
      <c r="A498">
        <v>497</v>
      </c>
      <c r="B498" s="1">
        <v>45845</v>
      </c>
      <c r="C498" s="2">
        <v>0.85972222222222228</v>
      </c>
      <c r="D498" t="s">
        <v>8</v>
      </c>
      <c r="E498" t="s">
        <v>9</v>
      </c>
      <c r="F498">
        <v>500</v>
      </c>
      <c r="G498" t="s">
        <v>62</v>
      </c>
      <c r="H498" t="s">
        <v>131</v>
      </c>
    </row>
    <row r="499" spans="1:8" x14ac:dyDescent="0.3">
      <c r="A499">
        <v>498</v>
      </c>
      <c r="B499" s="1">
        <v>45845</v>
      </c>
      <c r="C499" s="2">
        <v>0.87291666666666667</v>
      </c>
      <c r="D499" t="s">
        <v>8</v>
      </c>
      <c r="E499" t="s">
        <v>9</v>
      </c>
      <c r="F499">
        <v>1000</v>
      </c>
      <c r="G499" t="s">
        <v>21</v>
      </c>
      <c r="H499" t="s">
        <v>131</v>
      </c>
    </row>
    <row r="500" spans="1:8" x14ac:dyDescent="0.3">
      <c r="A500">
        <v>499</v>
      </c>
      <c r="B500" s="1">
        <v>45846</v>
      </c>
      <c r="C500" s="2">
        <v>0.49166666666666664</v>
      </c>
      <c r="D500" t="s">
        <v>22</v>
      </c>
      <c r="E500" t="s">
        <v>23</v>
      </c>
      <c r="F500">
        <v>5000</v>
      </c>
      <c r="G500" t="s">
        <v>136</v>
      </c>
      <c r="H500" t="s">
        <v>131</v>
      </c>
    </row>
    <row r="501" spans="1:8" x14ac:dyDescent="0.3">
      <c r="A501">
        <v>500</v>
      </c>
      <c r="B501" s="1">
        <v>45846</v>
      </c>
      <c r="C501" s="2">
        <v>0.60347222222222219</v>
      </c>
      <c r="D501" t="s">
        <v>8</v>
      </c>
      <c r="E501" t="s">
        <v>9</v>
      </c>
      <c r="F501">
        <v>60</v>
      </c>
      <c r="G501" t="s">
        <v>137</v>
      </c>
      <c r="H501" t="s">
        <v>131</v>
      </c>
    </row>
    <row r="502" spans="1:8" x14ac:dyDescent="0.3">
      <c r="A502">
        <v>501</v>
      </c>
      <c r="B502" s="1">
        <v>45846</v>
      </c>
      <c r="C502" s="2">
        <v>0.61111111111111116</v>
      </c>
      <c r="D502" t="s">
        <v>8</v>
      </c>
      <c r="E502" t="s">
        <v>9</v>
      </c>
      <c r="F502">
        <v>40</v>
      </c>
      <c r="G502" t="s">
        <v>71</v>
      </c>
      <c r="H502" t="s">
        <v>131</v>
      </c>
    </row>
    <row r="503" spans="1:8" x14ac:dyDescent="0.3">
      <c r="A503">
        <v>502</v>
      </c>
      <c r="B503" s="1">
        <v>45846</v>
      </c>
      <c r="C503" s="2">
        <v>0.61388888888888893</v>
      </c>
      <c r="D503" t="s">
        <v>8</v>
      </c>
      <c r="E503" t="s">
        <v>9</v>
      </c>
      <c r="F503">
        <v>20</v>
      </c>
      <c r="G503" t="s">
        <v>56</v>
      </c>
      <c r="H503" t="s">
        <v>131</v>
      </c>
    </row>
    <row r="504" spans="1:8" x14ac:dyDescent="0.3">
      <c r="A504">
        <v>503</v>
      </c>
      <c r="B504" s="1">
        <v>45846</v>
      </c>
      <c r="C504" s="2">
        <v>0.93958333333333333</v>
      </c>
      <c r="D504" t="s">
        <v>8</v>
      </c>
      <c r="E504" t="s">
        <v>9</v>
      </c>
      <c r="F504">
        <v>5000</v>
      </c>
      <c r="G504" t="s">
        <v>21</v>
      </c>
      <c r="H504" t="s">
        <v>131</v>
      </c>
    </row>
    <row r="505" spans="1:8" x14ac:dyDescent="0.3">
      <c r="A505">
        <v>504</v>
      </c>
      <c r="B505" s="1">
        <v>45847</v>
      </c>
      <c r="C505" s="2">
        <v>0.42430555555555555</v>
      </c>
      <c r="D505" t="s">
        <v>22</v>
      </c>
      <c r="E505" t="s">
        <v>23</v>
      </c>
      <c r="F505">
        <v>175</v>
      </c>
      <c r="G505" t="s">
        <v>74</v>
      </c>
      <c r="H505" t="s">
        <v>131</v>
      </c>
    </row>
    <row r="506" spans="1:8" x14ac:dyDescent="0.3">
      <c r="A506">
        <v>505</v>
      </c>
      <c r="B506" s="1">
        <v>45847</v>
      </c>
      <c r="C506" s="2">
        <v>0.42569444444444443</v>
      </c>
      <c r="D506" t="s">
        <v>49</v>
      </c>
      <c r="E506" t="s">
        <v>9</v>
      </c>
      <c r="F506">
        <v>174</v>
      </c>
      <c r="G506" t="s">
        <v>50</v>
      </c>
      <c r="H506" t="s">
        <v>131</v>
      </c>
    </row>
    <row r="507" spans="1:8" x14ac:dyDescent="0.3">
      <c r="A507">
        <v>506</v>
      </c>
      <c r="B507" s="1">
        <v>45847</v>
      </c>
      <c r="C507" s="2">
        <v>0.44097222222222221</v>
      </c>
      <c r="D507" t="s">
        <v>8</v>
      </c>
      <c r="E507" t="s">
        <v>9</v>
      </c>
      <c r="F507">
        <v>1800</v>
      </c>
      <c r="G507" t="s">
        <v>138</v>
      </c>
      <c r="H507" t="s">
        <v>131</v>
      </c>
    </row>
    <row r="508" spans="1:8" x14ac:dyDescent="0.3">
      <c r="A508">
        <v>507</v>
      </c>
      <c r="B508" s="1">
        <v>45847</v>
      </c>
      <c r="C508" s="2">
        <v>0.6333333333333333</v>
      </c>
      <c r="D508" t="s">
        <v>8</v>
      </c>
      <c r="E508" t="s">
        <v>9</v>
      </c>
      <c r="F508">
        <v>2000</v>
      </c>
      <c r="G508" t="s">
        <v>139</v>
      </c>
      <c r="H508" t="s">
        <v>131</v>
      </c>
    </row>
    <row r="509" spans="1:8" x14ac:dyDescent="0.3">
      <c r="A509">
        <v>508</v>
      </c>
      <c r="B509" s="1">
        <v>45847</v>
      </c>
      <c r="C509" s="2">
        <v>0.63611111111111107</v>
      </c>
      <c r="D509" t="s">
        <v>22</v>
      </c>
      <c r="E509" t="s">
        <v>23</v>
      </c>
      <c r="F509">
        <v>1000</v>
      </c>
      <c r="G509" t="s">
        <v>30</v>
      </c>
      <c r="H509" t="s">
        <v>131</v>
      </c>
    </row>
    <row r="510" spans="1:8" x14ac:dyDescent="0.3">
      <c r="A510">
        <v>509</v>
      </c>
      <c r="B510" s="1">
        <v>45847</v>
      </c>
      <c r="C510" s="2">
        <v>0.6381944444444444</v>
      </c>
      <c r="D510" t="s">
        <v>22</v>
      </c>
      <c r="E510" t="s">
        <v>23</v>
      </c>
      <c r="F510">
        <v>20</v>
      </c>
      <c r="G510" t="s">
        <v>10</v>
      </c>
      <c r="H510" t="s">
        <v>131</v>
      </c>
    </row>
    <row r="511" spans="1:8" x14ac:dyDescent="0.3">
      <c r="A511">
        <v>510</v>
      </c>
      <c r="B511" s="1">
        <v>45847</v>
      </c>
      <c r="C511" s="2">
        <v>0.64375000000000004</v>
      </c>
      <c r="D511" t="s">
        <v>8</v>
      </c>
      <c r="E511" t="s">
        <v>9</v>
      </c>
      <c r="F511">
        <v>1000</v>
      </c>
      <c r="G511" t="s">
        <v>21</v>
      </c>
      <c r="H511" t="s">
        <v>131</v>
      </c>
    </row>
    <row r="512" spans="1:8" x14ac:dyDescent="0.3">
      <c r="A512">
        <v>511</v>
      </c>
      <c r="B512" s="1">
        <v>45847</v>
      </c>
      <c r="C512" s="2">
        <v>0.90763888888888888</v>
      </c>
      <c r="D512" t="s">
        <v>8</v>
      </c>
      <c r="E512" t="s">
        <v>9</v>
      </c>
      <c r="F512">
        <v>2500</v>
      </c>
      <c r="G512" t="s">
        <v>74</v>
      </c>
      <c r="H512" t="s">
        <v>131</v>
      </c>
    </row>
    <row r="513" spans="1:8" x14ac:dyDescent="0.3">
      <c r="A513">
        <v>512</v>
      </c>
      <c r="B513" s="1">
        <v>45850</v>
      </c>
      <c r="C513" s="2">
        <v>0.3888888888888889</v>
      </c>
      <c r="D513" t="s">
        <v>22</v>
      </c>
      <c r="E513" t="s">
        <v>23</v>
      </c>
      <c r="F513">
        <v>200</v>
      </c>
      <c r="G513" t="s">
        <v>30</v>
      </c>
      <c r="H513" t="s">
        <v>131</v>
      </c>
    </row>
    <row r="514" spans="1:8" x14ac:dyDescent="0.3">
      <c r="A514">
        <v>513</v>
      </c>
      <c r="B514" s="1">
        <v>45851</v>
      </c>
      <c r="C514" s="2">
        <v>0.59513888888888888</v>
      </c>
      <c r="D514" t="s">
        <v>8</v>
      </c>
      <c r="E514" t="s">
        <v>9</v>
      </c>
      <c r="F514">
        <v>50</v>
      </c>
      <c r="G514" t="s">
        <v>33</v>
      </c>
      <c r="H514" t="s">
        <v>131</v>
      </c>
    </row>
    <row r="515" spans="1:8" x14ac:dyDescent="0.3">
      <c r="A515">
        <v>514</v>
      </c>
      <c r="B515" s="1">
        <v>45851</v>
      </c>
      <c r="C515" s="2">
        <v>0.6020833333333333</v>
      </c>
      <c r="D515" t="s">
        <v>8</v>
      </c>
      <c r="E515" t="s">
        <v>9</v>
      </c>
      <c r="F515">
        <v>30</v>
      </c>
      <c r="G515" t="s">
        <v>140</v>
      </c>
      <c r="H515" t="s">
        <v>131</v>
      </c>
    </row>
    <row r="516" spans="1:8" x14ac:dyDescent="0.3">
      <c r="A516">
        <v>515</v>
      </c>
      <c r="B516" s="1">
        <v>45851</v>
      </c>
      <c r="C516" s="2">
        <v>0.75555555555555554</v>
      </c>
      <c r="D516" t="s">
        <v>8</v>
      </c>
      <c r="E516" t="s">
        <v>9</v>
      </c>
      <c r="F516">
        <v>1200</v>
      </c>
      <c r="G516" t="s">
        <v>74</v>
      </c>
      <c r="H516" t="s">
        <v>131</v>
      </c>
    </row>
    <row r="517" spans="1:8" x14ac:dyDescent="0.3">
      <c r="A517">
        <v>516</v>
      </c>
      <c r="B517" s="1">
        <v>45851</v>
      </c>
      <c r="C517" s="2">
        <v>0.77083333333333337</v>
      </c>
      <c r="D517" t="s">
        <v>8</v>
      </c>
      <c r="E517" t="s">
        <v>9</v>
      </c>
      <c r="F517">
        <v>300</v>
      </c>
      <c r="G517" t="s">
        <v>141</v>
      </c>
      <c r="H517" t="s">
        <v>131</v>
      </c>
    </row>
    <row r="518" spans="1:8" x14ac:dyDescent="0.3">
      <c r="A518">
        <v>517</v>
      </c>
      <c r="B518" s="1">
        <v>45851</v>
      </c>
      <c r="C518" s="2">
        <v>0.77569444444444446</v>
      </c>
      <c r="D518" t="s">
        <v>8</v>
      </c>
      <c r="E518" t="s">
        <v>9</v>
      </c>
      <c r="F518">
        <v>70</v>
      </c>
      <c r="G518" t="s">
        <v>142</v>
      </c>
      <c r="H518" t="s">
        <v>131</v>
      </c>
    </row>
    <row r="519" spans="1:8" x14ac:dyDescent="0.3">
      <c r="A519">
        <v>518</v>
      </c>
      <c r="B519" s="1">
        <v>45851</v>
      </c>
      <c r="C519" s="2">
        <v>0.77916666666666667</v>
      </c>
      <c r="D519" t="s">
        <v>8</v>
      </c>
      <c r="E519" t="s">
        <v>9</v>
      </c>
      <c r="F519">
        <v>62</v>
      </c>
      <c r="G519" t="s">
        <v>37</v>
      </c>
      <c r="H519" t="s">
        <v>131</v>
      </c>
    </row>
    <row r="520" spans="1:8" x14ac:dyDescent="0.3">
      <c r="A520">
        <v>519</v>
      </c>
      <c r="B520" s="1">
        <v>45851</v>
      </c>
      <c r="C520" s="2">
        <v>0.78055555555555556</v>
      </c>
      <c r="D520" t="s">
        <v>8</v>
      </c>
      <c r="E520" t="s">
        <v>9</v>
      </c>
      <c r="F520">
        <v>25</v>
      </c>
      <c r="G520" t="s">
        <v>74</v>
      </c>
      <c r="H520" t="s">
        <v>131</v>
      </c>
    </row>
    <row r="521" spans="1:8" x14ac:dyDescent="0.3">
      <c r="A521">
        <v>520</v>
      </c>
      <c r="B521" s="1">
        <v>45853</v>
      </c>
      <c r="C521" s="2">
        <v>0.42638888888888887</v>
      </c>
      <c r="D521" t="s">
        <v>8</v>
      </c>
      <c r="E521" t="s">
        <v>9</v>
      </c>
      <c r="F521">
        <v>72</v>
      </c>
      <c r="G521" t="s">
        <v>74</v>
      </c>
      <c r="H521" t="s">
        <v>131</v>
      </c>
    </row>
    <row r="522" spans="1:8" x14ac:dyDescent="0.3">
      <c r="A522">
        <v>521</v>
      </c>
      <c r="B522" s="1">
        <v>45853</v>
      </c>
      <c r="C522" s="2">
        <v>0.44097222222222221</v>
      </c>
      <c r="D522" t="s">
        <v>8</v>
      </c>
      <c r="E522" t="s">
        <v>9</v>
      </c>
      <c r="F522">
        <v>50</v>
      </c>
      <c r="G522" t="s">
        <v>74</v>
      </c>
      <c r="H522" t="s">
        <v>131</v>
      </c>
    </row>
    <row r="523" spans="1:8" x14ac:dyDescent="0.3">
      <c r="A523">
        <v>522</v>
      </c>
      <c r="B523" s="1">
        <v>45853</v>
      </c>
      <c r="C523" s="2">
        <v>0.5708333333333333</v>
      </c>
      <c r="D523" t="s">
        <v>8</v>
      </c>
      <c r="E523" t="s">
        <v>9</v>
      </c>
      <c r="F523">
        <v>1000</v>
      </c>
      <c r="G523" t="s">
        <v>143</v>
      </c>
      <c r="H523" t="s">
        <v>131</v>
      </c>
    </row>
    <row r="524" spans="1:8" x14ac:dyDescent="0.3">
      <c r="A524">
        <v>523</v>
      </c>
      <c r="B524" s="1">
        <v>45853</v>
      </c>
      <c r="C524" s="2">
        <v>0.93402777777777779</v>
      </c>
      <c r="D524" t="s">
        <v>8</v>
      </c>
      <c r="E524" t="s">
        <v>9</v>
      </c>
      <c r="F524">
        <v>1000</v>
      </c>
      <c r="G524" t="s">
        <v>82</v>
      </c>
      <c r="H524" t="s">
        <v>131</v>
      </c>
    </row>
    <row r="525" spans="1:8" x14ac:dyDescent="0.3">
      <c r="A525">
        <v>524</v>
      </c>
      <c r="B525" s="1">
        <v>45854</v>
      </c>
      <c r="C525" s="2">
        <v>0.19027777777777777</v>
      </c>
      <c r="D525" t="s">
        <v>49</v>
      </c>
      <c r="E525" t="s">
        <v>23</v>
      </c>
      <c r="F525">
        <v>174</v>
      </c>
      <c r="G525" t="s">
        <v>144</v>
      </c>
      <c r="H525" t="s">
        <v>131</v>
      </c>
    </row>
    <row r="526" spans="1:8" x14ac:dyDescent="0.3">
      <c r="A526">
        <v>525</v>
      </c>
      <c r="B526" s="1">
        <v>45854</v>
      </c>
      <c r="C526" s="2">
        <v>0.19027777777777777</v>
      </c>
      <c r="D526" t="s">
        <v>49</v>
      </c>
      <c r="E526" t="s">
        <v>23</v>
      </c>
      <c r="F526">
        <v>174</v>
      </c>
      <c r="G526" t="s">
        <v>145</v>
      </c>
      <c r="H526" t="s">
        <v>131</v>
      </c>
    </row>
    <row r="527" spans="1:8" x14ac:dyDescent="0.3">
      <c r="A527">
        <v>526</v>
      </c>
      <c r="B527" s="1">
        <v>45854</v>
      </c>
      <c r="C527" s="2">
        <v>0.9145833333333333</v>
      </c>
      <c r="D527" t="s">
        <v>8</v>
      </c>
      <c r="E527" t="s">
        <v>9</v>
      </c>
      <c r="F527">
        <v>1100</v>
      </c>
      <c r="G527" t="s">
        <v>74</v>
      </c>
      <c r="H527" t="s">
        <v>131</v>
      </c>
    </row>
    <row r="528" spans="1:8" x14ac:dyDescent="0.3">
      <c r="A528">
        <v>527</v>
      </c>
      <c r="B528" s="1">
        <v>45854</v>
      </c>
      <c r="C528" s="2">
        <v>0.91666666666666663</v>
      </c>
      <c r="D528" t="s">
        <v>8</v>
      </c>
      <c r="E528" t="s">
        <v>9</v>
      </c>
      <c r="F528">
        <v>2000</v>
      </c>
      <c r="G528" t="s">
        <v>35</v>
      </c>
      <c r="H528" t="s">
        <v>131</v>
      </c>
    </row>
    <row r="529" spans="1:8" x14ac:dyDescent="0.3">
      <c r="A529">
        <v>528</v>
      </c>
      <c r="B529" s="1">
        <v>45854</v>
      </c>
      <c r="C529" s="2">
        <v>0.92152777777777772</v>
      </c>
      <c r="D529" t="s">
        <v>8</v>
      </c>
      <c r="E529" t="s">
        <v>9</v>
      </c>
      <c r="F529">
        <v>574</v>
      </c>
      <c r="G529" t="s">
        <v>20</v>
      </c>
      <c r="H529" t="s">
        <v>131</v>
      </c>
    </row>
    <row r="530" spans="1:8" x14ac:dyDescent="0.3">
      <c r="A530">
        <v>529</v>
      </c>
      <c r="B530" s="1">
        <v>45855</v>
      </c>
      <c r="C530" s="2">
        <v>0.38750000000000001</v>
      </c>
      <c r="D530" t="s">
        <v>22</v>
      </c>
      <c r="E530" t="s">
        <v>23</v>
      </c>
      <c r="F530">
        <v>2000</v>
      </c>
      <c r="G530" t="s">
        <v>30</v>
      </c>
      <c r="H530" t="s">
        <v>131</v>
      </c>
    </row>
    <row r="531" spans="1:8" x14ac:dyDescent="0.3">
      <c r="A531">
        <v>530</v>
      </c>
      <c r="B531" s="1">
        <v>45855</v>
      </c>
      <c r="C531" s="2">
        <v>0.39861111111111114</v>
      </c>
      <c r="D531" t="s">
        <v>8</v>
      </c>
      <c r="E531" t="s">
        <v>9</v>
      </c>
      <c r="F531">
        <v>2000</v>
      </c>
      <c r="G531" t="s">
        <v>21</v>
      </c>
      <c r="H531" t="s">
        <v>131</v>
      </c>
    </row>
    <row r="532" spans="1:8" x14ac:dyDescent="0.3">
      <c r="A532">
        <v>531</v>
      </c>
      <c r="B532" s="1">
        <v>45855</v>
      </c>
      <c r="C532" s="2">
        <v>0.89513888888888893</v>
      </c>
      <c r="D532" t="s">
        <v>8</v>
      </c>
      <c r="E532" t="s">
        <v>9</v>
      </c>
      <c r="F532">
        <v>174</v>
      </c>
      <c r="G532" t="s">
        <v>146</v>
      </c>
      <c r="H532" t="s">
        <v>131</v>
      </c>
    </row>
    <row r="533" spans="1:8" x14ac:dyDescent="0.3">
      <c r="A533">
        <v>532</v>
      </c>
      <c r="B533" s="1">
        <v>45856</v>
      </c>
      <c r="C533" s="2">
        <v>0.85069444444444442</v>
      </c>
      <c r="D533" t="s">
        <v>8</v>
      </c>
      <c r="E533" t="s">
        <v>9</v>
      </c>
      <c r="F533">
        <v>1000</v>
      </c>
      <c r="G533" t="s">
        <v>26</v>
      </c>
      <c r="H533" t="s">
        <v>131</v>
      </c>
    </row>
    <row r="534" spans="1:8" x14ac:dyDescent="0.3">
      <c r="A534">
        <v>533</v>
      </c>
      <c r="B534" s="1">
        <v>45857</v>
      </c>
      <c r="C534" s="2">
        <v>0.42222222222222222</v>
      </c>
      <c r="D534" t="s">
        <v>22</v>
      </c>
      <c r="E534" t="s">
        <v>23</v>
      </c>
      <c r="F534">
        <v>500</v>
      </c>
      <c r="G534" t="s">
        <v>30</v>
      </c>
      <c r="H534" t="s">
        <v>131</v>
      </c>
    </row>
    <row r="535" spans="1:8" x14ac:dyDescent="0.3">
      <c r="A535">
        <v>534</v>
      </c>
      <c r="B535" s="1">
        <v>45857</v>
      </c>
      <c r="C535" s="2">
        <v>0.49236111111111114</v>
      </c>
      <c r="D535" t="s">
        <v>22</v>
      </c>
      <c r="E535" t="s">
        <v>23</v>
      </c>
      <c r="F535">
        <v>20</v>
      </c>
      <c r="G535" t="s">
        <v>30</v>
      </c>
      <c r="H535" t="s">
        <v>131</v>
      </c>
    </row>
    <row r="536" spans="1:8" x14ac:dyDescent="0.3">
      <c r="A536">
        <v>535</v>
      </c>
      <c r="B536" s="1">
        <v>45857</v>
      </c>
      <c r="C536" s="2">
        <v>0.5131944444444444</v>
      </c>
      <c r="D536" t="s">
        <v>8</v>
      </c>
      <c r="E536" t="s">
        <v>9</v>
      </c>
      <c r="F536">
        <v>500</v>
      </c>
      <c r="G536" t="s">
        <v>147</v>
      </c>
      <c r="H536" t="s">
        <v>131</v>
      </c>
    </row>
    <row r="537" spans="1:8" x14ac:dyDescent="0.3">
      <c r="A537">
        <v>536</v>
      </c>
      <c r="B537" s="1">
        <v>45857</v>
      </c>
      <c r="C537" s="2">
        <v>0.62430555555555556</v>
      </c>
      <c r="D537" t="s">
        <v>8</v>
      </c>
      <c r="E537" t="s">
        <v>9</v>
      </c>
      <c r="F537">
        <v>299</v>
      </c>
      <c r="G537" t="s">
        <v>148</v>
      </c>
      <c r="H537" t="s">
        <v>131</v>
      </c>
    </row>
    <row r="538" spans="1:8" x14ac:dyDescent="0.3">
      <c r="A538">
        <v>537</v>
      </c>
      <c r="B538" s="1">
        <v>45857</v>
      </c>
      <c r="C538" s="2">
        <v>0.94930555555555551</v>
      </c>
      <c r="D538" t="s">
        <v>8</v>
      </c>
      <c r="E538" t="s">
        <v>9</v>
      </c>
      <c r="F538">
        <v>500</v>
      </c>
      <c r="G538" t="s">
        <v>100</v>
      </c>
      <c r="H538" t="s">
        <v>131</v>
      </c>
    </row>
    <row r="539" spans="1:8" x14ac:dyDescent="0.3">
      <c r="A539">
        <v>538</v>
      </c>
      <c r="B539" s="1">
        <v>45858</v>
      </c>
      <c r="C539" s="2">
        <v>0.4201388888888889</v>
      </c>
      <c r="D539" t="s">
        <v>22</v>
      </c>
      <c r="E539" t="s">
        <v>23</v>
      </c>
      <c r="F539">
        <v>500</v>
      </c>
      <c r="G539" t="s">
        <v>100</v>
      </c>
      <c r="H539" t="s">
        <v>131</v>
      </c>
    </row>
    <row r="540" spans="1:8" x14ac:dyDescent="0.3">
      <c r="A540">
        <v>539</v>
      </c>
      <c r="B540" s="1">
        <v>45859</v>
      </c>
      <c r="C540" s="2">
        <v>0.37430555555555556</v>
      </c>
      <c r="D540" t="s">
        <v>8</v>
      </c>
      <c r="E540" t="s">
        <v>9</v>
      </c>
      <c r="F540">
        <v>500</v>
      </c>
      <c r="G540" t="s">
        <v>149</v>
      </c>
      <c r="H540" t="s">
        <v>131</v>
      </c>
    </row>
    <row r="541" spans="1:8" x14ac:dyDescent="0.3">
      <c r="A541">
        <v>540</v>
      </c>
      <c r="B541" s="1">
        <v>45859</v>
      </c>
      <c r="C541" s="2">
        <v>0.37638888888888888</v>
      </c>
      <c r="D541" t="s">
        <v>8</v>
      </c>
      <c r="E541" t="s">
        <v>9</v>
      </c>
      <c r="F541">
        <v>500</v>
      </c>
      <c r="G541" t="s">
        <v>21</v>
      </c>
      <c r="H541" t="s">
        <v>131</v>
      </c>
    </row>
    <row r="542" spans="1:8" x14ac:dyDescent="0.3">
      <c r="A542">
        <v>541</v>
      </c>
      <c r="B542" s="1">
        <v>45860</v>
      </c>
      <c r="C542" s="2">
        <v>0.49305555555555558</v>
      </c>
      <c r="D542" t="s">
        <v>8</v>
      </c>
      <c r="E542" t="s">
        <v>9</v>
      </c>
      <c r="F542">
        <v>430</v>
      </c>
      <c r="G542" t="s">
        <v>150</v>
      </c>
      <c r="H542" t="s">
        <v>131</v>
      </c>
    </row>
    <row r="543" spans="1:8" x14ac:dyDescent="0.3">
      <c r="A543">
        <v>542</v>
      </c>
      <c r="B543" s="1">
        <v>45860</v>
      </c>
      <c r="C543" s="2">
        <v>0.53888888888888886</v>
      </c>
      <c r="D543" t="s">
        <v>22</v>
      </c>
      <c r="E543" t="s">
        <v>23</v>
      </c>
      <c r="F543">
        <v>342</v>
      </c>
      <c r="G543" t="s">
        <v>30</v>
      </c>
      <c r="H543" t="s">
        <v>131</v>
      </c>
    </row>
    <row r="544" spans="1:8" x14ac:dyDescent="0.3">
      <c r="A544">
        <v>543</v>
      </c>
      <c r="B544" s="1">
        <v>45860</v>
      </c>
      <c r="C544" s="2">
        <v>0.53888888888888886</v>
      </c>
      <c r="D544" t="s">
        <v>8</v>
      </c>
      <c r="E544" t="s">
        <v>9</v>
      </c>
      <c r="F544">
        <v>344</v>
      </c>
      <c r="G544" t="s">
        <v>30</v>
      </c>
      <c r="H544" t="s">
        <v>131</v>
      </c>
    </row>
    <row r="545" spans="1:8" x14ac:dyDescent="0.3">
      <c r="A545">
        <v>544</v>
      </c>
      <c r="B545" s="1">
        <v>45860</v>
      </c>
      <c r="C545" s="2">
        <v>0.65416666666666667</v>
      </c>
      <c r="D545" t="s">
        <v>8</v>
      </c>
      <c r="E545" t="s">
        <v>9</v>
      </c>
      <c r="F545">
        <v>3000</v>
      </c>
      <c r="G545" t="s">
        <v>151</v>
      </c>
      <c r="H545" t="s">
        <v>131</v>
      </c>
    </row>
    <row r="546" spans="1:8" x14ac:dyDescent="0.3">
      <c r="A546">
        <v>545</v>
      </c>
      <c r="B546" s="1">
        <v>45860</v>
      </c>
      <c r="C546" s="2">
        <v>0.75138888888888888</v>
      </c>
      <c r="D546" t="s">
        <v>16</v>
      </c>
      <c r="E546" t="s">
        <v>9</v>
      </c>
      <c r="F546">
        <v>3000</v>
      </c>
      <c r="G546" t="s">
        <v>17</v>
      </c>
      <c r="H546" t="s">
        <v>131</v>
      </c>
    </row>
    <row r="547" spans="1:8" x14ac:dyDescent="0.3">
      <c r="A547">
        <v>546</v>
      </c>
      <c r="B547" s="1">
        <v>45860</v>
      </c>
      <c r="C547" s="2">
        <v>0.75138888888888888</v>
      </c>
      <c r="D547" t="s">
        <v>8</v>
      </c>
      <c r="E547" t="s">
        <v>9</v>
      </c>
      <c r="F547">
        <v>3000</v>
      </c>
      <c r="G547" t="s">
        <v>20</v>
      </c>
      <c r="H547" t="s">
        <v>131</v>
      </c>
    </row>
    <row r="548" spans="1:8" x14ac:dyDescent="0.3">
      <c r="A548">
        <v>547</v>
      </c>
      <c r="B548" s="1">
        <v>45860</v>
      </c>
      <c r="C548" s="2">
        <v>0.84166666666666667</v>
      </c>
      <c r="D548" t="s">
        <v>22</v>
      </c>
      <c r="E548" t="s">
        <v>23</v>
      </c>
      <c r="F548">
        <v>2500</v>
      </c>
      <c r="G548" t="s">
        <v>74</v>
      </c>
      <c r="H548" t="s">
        <v>131</v>
      </c>
    </row>
    <row r="549" spans="1:8" x14ac:dyDescent="0.3">
      <c r="A549">
        <v>548</v>
      </c>
      <c r="B549" s="1">
        <v>45860</v>
      </c>
      <c r="C549" s="2">
        <v>0.84444444444444444</v>
      </c>
      <c r="D549" t="s">
        <v>8</v>
      </c>
      <c r="E549" t="s">
        <v>9</v>
      </c>
      <c r="F549">
        <v>2500</v>
      </c>
      <c r="G549" t="s">
        <v>21</v>
      </c>
      <c r="H549" t="s">
        <v>131</v>
      </c>
    </row>
    <row r="550" spans="1:8" x14ac:dyDescent="0.3">
      <c r="A550">
        <v>549</v>
      </c>
      <c r="B550" s="1">
        <v>45861</v>
      </c>
      <c r="C550" s="2">
        <v>0.46944444444444444</v>
      </c>
      <c r="D550" t="s">
        <v>8</v>
      </c>
      <c r="E550" t="s">
        <v>9</v>
      </c>
      <c r="F550">
        <v>1000</v>
      </c>
      <c r="G550" t="s">
        <v>152</v>
      </c>
      <c r="H550" t="s">
        <v>131</v>
      </c>
    </row>
    <row r="551" spans="1:8" x14ac:dyDescent="0.3">
      <c r="A551">
        <v>550</v>
      </c>
      <c r="B551" s="1">
        <v>45861</v>
      </c>
      <c r="C551" s="2">
        <v>0.67013888888888884</v>
      </c>
      <c r="D551" t="s">
        <v>8</v>
      </c>
      <c r="E551" t="s">
        <v>9</v>
      </c>
      <c r="F551">
        <v>1000</v>
      </c>
      <c r="G551" t="s">
        <v>59</v>
      </c>
      <c r="H551" t="s">
        <v>131</v>
      </c>
    </row>
    <row r="552" spans="1:8" x14ac:dyDescent="0.3">
      <c r="A552">
        <v>551</v>
      </c>
      <c r="B552" s="1">
        <v>45861</v>
      </c>
      <c r="C552" s="2">
        <v>0.84652777777777777</v>
      </c>
      <c r="D552" t="s">
        <v>22</v>
      </c>
      <c r="E552" t="s">
        <v>23</v>
      </c>
      <c r="F552">
        <v>930</v>
      </c>
      <c r="G552" t="s">
        <v>100</v>
      </c>
      <c r="H552" t="s">
        <v>131</v>
      </c>
    </row>
    <row r="553" spans="1:8" x14ac:dyDescent="0.3">
      <c r="A553">
        <v>552</v>
      </c>
      <c r="B553" s="1">
        <v>45861</v>
      </c>
      <c r="C553" s="2">
        <v>0.84861111111111109</v>
      </c>
      <c r="D553" t="s">
        <v>16</v>
      </c>
      <c r="E553" t="s">
        <v>9</v>
      </c>
      <c r="F553">
        <v>500</v>
      </c>
      <c r="G553" t="s">
        <v>17</v>
      </c>
      <c r="H553" t="s">
        <v>131</v>
      </c>
    </row>
    <row r="554" spans="1:8" x14ac:dyDescent="0.3">
      <c r="A554">
        <v>553</v>
      </c>
      <c r="B554" s="1">
        <v>45861</v>
      </c>
      <c r="C554" s="2">
        <v>0.84861111111111109</v>
      </c>
      <c r="D554" t="s">
        <v>8</v>
      </c>
      <c r="E554" t="s">
        <v>9</v>
      </c>
      <c r="F554">
        <v>430</v>
      </c>
      <c r="G554" t="s">
        <v>21</v>
      </c>
      <c r="H554" t="s">
        <v>131</v>
      </c>
    </row>
    <row r="555" spans="1:8" x14ac:dyDescent="0.3">
      <c r="A555">
        <v>554</v>
      </c>
      <c r="B555" s="1">
        <v>45862</v>
      </c>
      <c r="C555" s="2">
        <v>0.34166666666666667</v>
      </c>
      <c r="D555" t="s">
        <v>8</v>
      </c>
      <c r="E555" t="s">
        <v>9</v>
      </c>
      <c r="F555">
        <v>1000</v>
      </c>
      <c r="G555" t="s">
        <v>30</v>
      </c>
      <c r="H555" t="s">
        <v>131</v>
      </c>
    </row>
    <row r="556" spans="1:8" x14ac:dyDescent="0.3">
      <c r="A556">
        <v>555</v>
      </c>
      <c r="B556" s="1">
        <v>45862</v>
      </c>
      <c r="C556" s="2">
        <v>0.34236111111111112</v>
      </c>
      <c r="D556" t="s">
        <v>22</v>
      </c>
      <c r="E556" t="s">
        <v>23</v>
      </c>
      <c r="F556">
        <v>1000</v>
      </c>
      <c r="G556" t="s">
        <v>30</v>
      </c>
      <c r="H556" t="s">
        <v>131</v>
      </c>
    </row>
    <row r="557" spans="1:8" x14ac:dyDescent="0.3">
      <c r="A557">
        <v>556</v>
      </c>
      <c r="B557" s="1">
        <v>45863</v>
      </c>
      <c r="C557" s="2">
        <v>0.39791666666666664</v>
      </c>
      <c r="D557" t="s">
        <v>16</v>
      </c>
      <c r="E557" t="s">
        <v>9</v>
      </c>
      <c r="F557">
        <v>1000</v>
      </c>
      <c r="G557" t="s">
        <v>17</v>
      </c>
      <c r="H557" t="s">
        <v>131</v>
      </c>
    </row>
    <row r="558" spans="1:8" x14ac:dyDescent="0.3">
      <c r="A558">
        <v>557</v>
      </c>
      <c r="B558" s="1">
        <v>45863</v>
      </c>
      <c r="C558" s="2">
        <v>0.80138888888888893</v>
      </c>
      <c r="D558" t="s">
        <v>8</v>
      </c>
      <c r="E558" t="s">
        <v>9</v>
      </c>
      <c r="F558">
        <v>170</v>
      </c>
      <c r="G558" t="s">
        <v>59</v>
      </c>
      <c r="H558" t="s">
        <v>131</v>
      </c>
    </row>
    <row r="559" spans="1:8" x14ac:dyDescent="0.3">
      <c r="A559">
        <v>558</v>
      </c>
      <c r="B559" s="1">
        <v>45864</v>
      </c>
      <c r="C559" s="2">
        <v>0.4548611111111111</v>
      </c>
      <c r="D559" t="s">
        <v>8</v>
      </c>
      <c r="E559" t="s">
        <v>9</v>
      </c>
      <c r="F559">
        <v>480</v>
      </c>
      <c r="G559" t="s">
        <v>153</v>
      </c>
      <c r="H559" t="s">
        <v>131</v>
      </c>
    </row>
    <row r="560" spans="1:8" x14ac:dyDescent="0.3">
      <c r="A560">
        <v>559</v>
      </c>
      <c r="B560" s="1">
        <v>45865</v>
      </c>
      <c r="C560" s="2">
        <v>0.45833333333333331</v>
      </c>
      <c r="D560" t="s">
        <v>8</v>
      </c>
      <c r="E560" t="s">
        <v>9</v>
      </c>
      <c r="F560">
        <v>750</v>
      </c>
      <c r="G560" t="s">
        <v>146</v>
      </c>
      <c r="H560" t="s">
        <v>131</v>
      </c>
    </row>
    <row r="561" spans="1:8" x14ac:dyDescent="0.3">
      <c r="A561">
        <v>560</v>
      </c>
      <c r="B561" s="1">
        <v>45865</v>
      </c>
      <c r="C561" s="2">
        <v>0.82222222222222219</v>
      </c>
      <c r="D561" t="s">
        <v>22</v>
      </c>
      <c r="E561" t="s">
        <v>23</v>
      </c>
      <c r="F561">
        <v>750</v>
      </c>
      <c r="G561" t="s">
        <v>12</v>
      </c>
      <c r="H561" t="s">
        <v>131</v>
      </c>
    </row>
    <row r="562" spans="1:8" x14ac:dyDescent="0.3">
      <c r="A562">
        <v>561</v>
      </c>
      <c r="B562" s="1">
        <v>45865</v>
      </c>
      <c r="C562" s="2">
        <v>0.82291666666666663</v>
      </c>
      <c r="D562" t="s">
        <v>16</v>
      </c>
      <c r="E562" t="s">
        <v>9</v>
      </c>
      <c r="F562">
        <v>750</v>
      </c>
      <c r="G562" t="s">
        <v>17</v>
      </c>
      <c r="H562" t="s">
        <v>131</v>
      </c>
    </row>
    <row r="563" spans="1:8" x14ac:dyDescent="0.3">
      <c r="A563">
        <v>562</v>
      </c>
      <c r="B563" s="1">
        <v>45868</v>
      </c>
      <c r="C563" s="2">
        <v>0.51249999999999996</v>
      </c>
      <c r="D563" t="s">
        <v>22</v>
      </c>
      <c r="E563" t="s">
        <v>23</v>
      </c>
      <c r="F563">
        <v>2000</v>
      </c>
      <c r="G563" t="s">
        <v>12</v>
      </c>
      <c r="H563" t="s">
        <v>131</v>
      </c>
    </row>
    <row r="564" spans="1:8" x14ac:dyDescent="0.3">
      <c r="A564">
        <v>563</v>
      </c>
      <c r="B564" s="1">
        <v>45868</v>
      </c>
      <c r="C564" s="2">
        <v>0.51597222222222228</v>
      </c>
      <c r="D564" t="s">
        <v>8</v>
      </c>
      <c r="E564" t="s">
        <v>9</v>
      </c>
      <c r="F564">
        <v>2000</v>
      </c>
      <c r="G564" t="s">
        <v>127</v>
      </c>
      <c r="H564" t="s">
        <v>131</v>
      </c>
    </row>
    <row r="565" spans="1:8" x14ac:dyDescent="0.3">
      <c r="A565">
        <v>564</v>
      </c>
      <c r="B565" s="1">
        <v>45870</v>
      </c>
      <c r="C565" s="2">
        <v>0.91736111111111107</v>
      </c>
      <c r="D565" t="s">
        <v>8</v>
      </c>
      <c r="E565" t="s">
        <v>9</v>
      </c>
      <c r="F565">
        <v>1000</v>
      </c>
      <c r="G565" t="s">
        <v>100</v>
      </c>
      <c r="H565" t="s">
        <v>154</v>
      </c>
    </row>
    <row r="566" spans="1:8" x14ac:dyDescent="0.3">
      <c r="A566">
        <v>565</v>
      </c>
      <c r="B566" s="1">
        <v>45870</v>
      </c>
      <c r="C566" s="2">
        <v>0.91736111111111107</v>
      </c>
      <c r="D566" t="s">
        <v>8</v>
      </c>
      <c r="E566" t="s">
        <v>9</v>
      </c>
      <c r="F566">
        <v>1000</v>
      </c>
      <c r="G566" t="s">
        <v>100</v>
      </c>
      <c r="H566" t="s">
        <v>154</v>
      </c>
    </row>
    <row r="567" spans="1:8" x14ac:dyDescent="0.3">
      <c r="A567">
        <v>566</v>
      </c>
      <c r="B567" s="1">
        <v>45872</v>
      </c>
      <c r="C567" s="2">
        <v>0.80555555555555558</v>
      </c>
      <c r="D567" t="s">
        <v>22</v>
      </c>
      <c r="E567" t="s">
        <v>23</v>
      </c>
      <c r="F567">
        <v>2000</v>
      </c>
      <c r="G567" t="s">
        <v>90</v>
      </c>
      <c r="H567" t="s">
        <v>154</v>
      </c>
    </row>
    <row r="568" spans="1:8" x14ac:dyDescent="0.3">
      <c r="A568">
        <v>567</v>
      </c>
      <c r="B568" s="1">
        <v>45872</v>
      </c>
      <c r="C568" s="2">
        <v>0.9194444444444444</v>
      </c>
      <c r="D568" t="s">
        <v>16</v>
      </c>
      <c r="E568" t="s">
        <v>9</v>
      </c>
      <c r="F568">
        <v>2000</v>
      </c>
      <c r="G568" t="s">
        <v>17</v>
      </c>
      <c r="H568" t="s">
        <v>154</v>
      </c>
    </row>
    <row r="569" spans="1:8" x14ac:dyDescent="0.3">
      <c r="A569">
        <v>568</v>
      </c>
      <c r="B569" s="1">
        <v>45872</v>
      </c>
      <c r="C569" s="2">
        <v>0.9194444444444444</v>
      </c>
      <c r="D569" t="s">
        <v>22</v>
      </c>
      <c r="E569" t="s">
        <v>23</v>
      </c>
      <c r="F569">
        <v>19</v>
      </c>
      <c r="G569" t="s">
        <v>30</v>
      </c>
      <c r="H569" t="s">
        <v>154</v>
      </c>
    </row>
    <row r="570" spans="1:8" x14ac:dyDescent="0.3">
      <c r="A570">
        <v>569</v>
      </c>
      <c r="B570" s="1">
        <v>45873</v>
      </c>
      <c r="C570" s="2">
        <v>0.3611111111111111</v>
      </c>
      <c r="D570" t="s">
        <v>22</v>
      </c>
      <c r="E570" t="s">
        <v>23</v>
      </c>
      <c r="F570">
        <v>175</v>
      </c>
      <c r="G570" t="s">
        <v>12</v>
      </c>
      <c r="H570" t="s">
        <v>154</v>
      </c>
    </row>
    <row r="571" spans="1:8" x14ac:dyDescent="0.3">
      <c r="A571">
        <v>570</v>
      </c>
      <c r="B571" s="1">
        <v>45873</v>
      </c>
      <c r="C571" s="2">
        <v>0.36180555555555555</v>
      </c>
      <c r="D571" t="s">
        <v>49</v>
      </c>
      <c r="E571" t="s">
        <v>9</v>
      </c>
      <c r="F571">
        <v>172</v>
      </c>
      <c r="G571" t="s">
        <v>50</v>
      </c>
      <c r="H571" t="s">
        <v>154</v>
      </c>
    </row>
    <row r="572" spans="1:8" x14ac:dyDescent="0.3">
      <c r="A572">
        <v>571</v>
      </c>
      <c r="B572" s="1">
        <v>45873</v>
      </c>
      <c r="C572" s="2">
        <v>0.41736111111111113</v>
      </c>
      <c r="D572" t="s">
        <v>8</v>
      </c>
      <c r="E572" t="s">
        <v>9</v>
      </c>
      <c r="F572">
        <v>7500</v>
      </c>
      <c r="G572" t="s">
        <v>13</v>
      </c>
      <c r="H572" t="s">
        <v>154</v>
      </c>
    </row>
    <row r="573" spans="1:8" x14ac:dyDescent="0.3">
      <c r="A573">
        <v>572</v>
      </c>
      <c r="B573" s="1">
        <v>45873</v>
      </c>
      <c r="C573" s="2">
        <v>0.42777777777777776</v>
      </c>
      <c r="D573" t="s">
        <v>8</v>
      </c>
      <c r="E573" t="s">
        <v>9</v>
      </c>
      <c r="F573">
        <v>1000</v>
      </c>
      <c r="G573" t="s">
        <v>100</v>
      </c>
      <c r="H573" t="s">
        <v>154</v>
      </c>
    </row>
    <row r="574" spans="1:8" x14ac:dyDescent="0.3">
      <c r="A574">
        <v>573</v>
      </c>
      <c r="B574" s="1">
        <v>45873</v>
      </c>
      <c r="C574" s="2">
        <v>0.42777777777777776</v>
      </c>
      <c r="D574" t="s">
        <v>8</v>
      </c>
      <c r="E574" t="s">
        <v>9</v>
      </c>
      <c r="F574">
        <v>1000</v>
      </c>
      <c r="G574" t="s">
        <v>100</v>
      </c>
      <c r="H574" t="s">
        <v>154</v>
      </c>
    </row>
    <row r="575" spans="1:8" x14ac:dyDescent="0.3">
      <c r="A575">
        <v>574</v>
      </c>
      <c r="B575" s="1">
        <v>45873</v>
      </c>
      <c r="C575" s="2">
        <v>0.48472222222222222</v>
      </c>
      <c r="D575" t="s">
        <v>14</v>
      </c>
      <c r="E575" t="s">
        <v>9</v>
      </c>
      <c r="F575">
        <v>302</v>
      </c>
      <c r="G575" t="s">
        <v>36</v>
      </c>
      <c r="H575" t="s">
        <v>154</v>
      </c>
    </row>
    <row r="576" spans="1:8" x14ac:dyDescent="0.3">
      <c r="A576">
        <v>575</v>
      </c>
      <c r="B576" s="1">
        <v>45873</v>
      </c>
      <c r="C576" s="2">
        <v>0.51736111111111116</v>
      </c>
      <c r="D576" t="s">
        <v>22</v>
      </c>
      <c r="E576" t="s">
        <v>23</v>
      </c>
      <c r="F576">
        <v>302</v>
      </c>
      <c r="G576" t="s">
        <v>155</v>
      </c>
      <c r="H576" t="s">
        <v>154</v>
      </c>
    </row>
    <row r="577" spans="1:8" x14ac:dyDescent="0.3">
      <c r="A577">
        <v>576</v>
      </c>
      <c r="B577" s="1">
        <v>45873</v>
      </c>
      <c r="C577" s="2">
        <v>0.54027777777777775</v>
      </c>
      <c r="D577" t="s">
        <v>16</v>
      </c>
      <c r="E577" t="s">
        <v>9</v>
      </c>
      <c r="F577">
        <v>302</v>
      </c>
      <c r="G577" t="s">
        <v>17</v>
      </c>
      <c r="H577" t="s">
        <v>154</v>
      </c>
    </row>
    <row r="578" spans="1:8" x14ac:dyDescent="0.3">
      <c r="A578">
        <v>577</v>
      </c>
      <c r="B578" s="1">
        <v>45873</v>
      </c>
      <c r="C578" s="2">
        <v>0.65555555555555556</v>
      </c>
      <c r="D578" t="s">
        <v>22</v>
      </c>
      <c r="E578" t="s">
        <v>23</v>
      </c>
      <c r="F578">
        <v>217</v>
      </c>
      <c r="G578" t="s">
        <v>30</v>
      </c>
      <c r="H578" t="s">
        <v>154</v>
      </c>
    </row>
    <row r="579" spans="1:8" x14ac:dyDescent="0.3">
      <c r="A579">
        <v>578</v>
      </c>
      <c r="B579" s="1">
        <v>45873</v>
      </c>
      <c r="C579" s="2">
        <v>0.65555555555555556</v>
      </c>
      <c r="D579" t="s">
        <v>22</v>
      </c>
      <c r="E579" t="s">
        <v>23</v>
      </c>
      <c r="F579">
        <v>31</v>
      </c>
      <c r="G579" t="s">
        <v>30</v>
      </c>
      <c r="H579" t="s">
        <v>154</v>
      </c>
    </row>
    <row r="580" spans="1:8" x14ac:dyDescent="0.3">
      <c r="A580">
        <v>579</v>
      </c>
      <c r="B580" s="1">
        <v>45873</v>
      </c>
      <c r="C580" s="2">
        <v>0.65625</v>
      </c>
      <c r="D580" t="s">
        <v>49</v>
      </c>
      <c r="E580" t="s">
        <v>9</v>
      </c>
      <c r="F580">
        <v>263</v>
      </c>
      <c r="G580" t="s">
        <v>50</v>
      </c>
      <c r="H580" t="s">
        <v>154</v>
      </c>
    </row>
    <row r="581" spans="1:8" x14ac:dyDescent="0.3">
      <c r="A581">
        <v>580</v>
      </c>
      <c r="B581" s="1">
        <v>45874</v>
      </c>
      <c r="C581" s="2">
        <v>0.57847222222222228</v>
      </c>
      <c r="D581" t="s">
        <v>22</v>
      </c>
      <c r="E581" t="s">
        <v>23</v>
      </c>
      <c r="F581">
        <v>3000</v>
      </c>
      <c r="G581" t="s">
        <v>30</v>
      </c>
      <c r="H581" t="s">
        <v>154</v>
      </c>
    </row>
    <row r="582" spans="1:8" x14ac:dyDescent="0.3">
      <c r="A582">
        <v>581</v>
      </c>
      <c r="B582" s="1">
        <v>45875</v>
      </c>
      <c r="C582" s="2">
        <v>0.46597222222222223</v>
      </c>
      <c r="D582" t="s">
        <v>8</v>
      </c>
      <c r="E582" t="s">
        <v>9</v>
      </c>
      <c r="F582">
        <v>3000</v>
      </c>
      <c r="G582" t="s">
        <v>21</v>
      </c>
      <c r="H582" t="s">
        <v>154</v>
      </c>
    </row>
    <row r="583" spans="1:8" x14ac:dyDescent="0.3">
      <c r="A583">
        <v>582</v>
      </c>
      <c r="B583" s="1">
        <v>45875</v>
      </c>
      <c r="C583" s="2">
        <v>0.57638888888888884</v>
      </c>
      <c r="D583" t="s">
        <v>22</v>
      </c>
      <c r="E583" t="s">
        <v>23</v>
      </c>
      <c r="F583">
        <v>100</v>
      </c>
      <c r="G583" t="s">
        <v>156</v>
      </c>
      <c r="H583" t="s">
        <v>154</v>
      </c>
    </row>
    <row r="584" spans="1:8" x14ac:dyDescent="0.3">
      <c r="A584">
        <v>583</v>
      </c>
      <c r="B584" s="1">
        <v>45875</v>
      </c>
      <c r="C584" s="2">
        <v>0.57777777777777772</v>
      </c>
      <c r="D584" t="s">
        <v>22</v>
      </c>
      <c r="E584" t="s">
        <v>23</v>
      </c>
      <c r="F584">
        <v>10</v>
      </c>
      <c r="G584" t="s">
        <v>156</v>
      </c>
      <c r="H584" t="s">
        <v>154</v>
      </c>
    </row>
    <row r="585" spans="1:8" x14ac:dyDescent="0.3">
      <c r="A585">
        <v>584</v>
      </c>
      <c r="B585" s="1">
        <v>45875</v>
      </c>
      <c r="C585" s="2">
        <v>0.57847222222222228</v>
      </c>
      <c r="D585" t="s">
        <v>22</v>
      </c>
      <c r="E585" t="s">
        <v>23</v>
      </c>
      <c r="F585">
        <v>90</v>
      </c>
      <c r="G585" t="s">
        <v>156</v>
      </c>
      <c r="H585" t="s">
        <v>154</v>
      </c>
    </row>
    <row r="586" spans="1:8" x14ac:dyDescent="0.3">
      <c r="A586">
        <v>585</v>
      </c>
      <c r="B586" s="1">
        <v>45875</v>
      </c>
      <c r="C586" s="2">
        <v>0.57986111111111116</v>
      </c>
      <c r="D586" t="s">
        <v>22</v>
      </c>
      <c r="E586" t="s">
        <v>23</v>
      </c>
      <c r="F586">
        <v>200</v>
      </c>
      <c r="G586" t="s">
        <v>156</v>
      </c>
      <c r="H586" t="s">
        <v>154</v>
      </c>
    </row>
    <row r="587" spans="1:8" x14ac:dyDescent="0.3">
      <c r="A587">
        <v>586</v>
      </c>
      <c r="B587" s="1">
        <v>45875</v>
      </c>
      <c r="C587" s="2">
        <v>0.7993055555555556</v>
      </c>
      <c r="D587" t="s">
        <v>22</v>
      </c>
      <c r="E587" t="s">
        <v>23</v>
      </c>
      <c r="F587">
        <v>7500</v>
      </c>
      <c r="G587" t="s">
        <v>68</v>
      </c>
      <c r="H587" t="s">
        <v>154</v>
      </c>
    </row>
    <row r="588" spans="1:8" x14ac:dyDescent="0.3">
      <c r="A588">
        <v>587</v>
      </c>
      <c r="B588" s="1">
        <v>45875</v>
      </c>
      <c r="C588" s="2">
        <v>0.80069444444444449</v>
      </c>
      <c r="D588" t="s">
        <v>8</v>
      </c>
      <c r="E588" t="s">
        <v>9</v>
      </c>
      <c r="F588">
        <v>7500</v>
      </c>
      <c r="G588" t="s">
        <v>21</v>
      </c>
      <c r="H588" t="s">
        <v>154</v>
      </c>
    </row>
    <row r="589" spans="1:8" x14ac:dyDescent="0.3">
      <c r="A589">
        <v>588</v>
      </c>
      <c r="B589" s="1">
        <v>45876</v>
      </c>
      <c r="C589" s="2">
        <v>0.5444444444444444</v>
      </c>
      <c r="D589" t="s">
        <v>22</v>
      </c>
      <c r="E589" t="s">
        <v>23</v>
      </c>
      <c r="F589">
        <v>1000</v>
      </c>
      <c r="G589" t="s">
        <v>157</v>
      </c>
      <c r="H589" t="s">
        <v>154</v>
      </c>
    </row>
    <row r="590" spans="1:8" x14ac:dyDescent="0.3">
      <c r="A590">
        <v>589</v>
      </c>
      <c r="B590" s="1">
        <v>45877</v>
      </c>
      <c r="C590" s="2">
        <v>0.37638888888888888</v>
      </c>
      <c r="D590" t="s">
        <v>8</v>
      </c>
      <c r="E590" t="s">
        <v>9</v>
      </c>
      <c r="F590">
        <v>2640</v>
      </c>
      <c r="G590" t="s">
        <v>30</v>
      </c>
      <c r="H590" t="s">
        <v>154</v>
      </c>
    </row>
    <row r="591" spans="1:8" x14ac:dyDescent="0.3">
      <c r="A591">
        <v>590</v>
      </c>
      <c r="B591" s="1">
        <v>45877</v>
      </c>
      <c r="C591" s="2">
        <v>0.37777777777777777</v>
      </c>
      <c r="D591" t="s">
        <v>8</v>
      </c>
      <c r="E591" t="s">
        <v>9</v>
      </c>
      <c r="F591">
        <v>3</v>
      </c>
      <c r="G591" t="s">
        <v>30</v>
      </c>
      <c r="H591" t="s">
        <v>154</v>
      </c>
    </row>
    <row r="592" spans="1:8" x14ac:dyDescent="0.3">
      <c r="A592">
        <v>591</v>
      </c>
      <c r="B592" s="1">
        <v>45878</v>
      </c>
      <c r="C592" s="2">
        <v>0.41319444444444442</v>
      </c>
      <c r="D592" t="s">
        <v>16</v>
      </c>
      <c r="E592" t="s">
        <v>9</v>
      </c>
      <c r="F592">
        <v>1000</v>
      </c>
      <c r="G592" t="s">
        <v>17</v>
      </c>
      <c r="H592" t="s">
        <v>154</v>
      </c>
    </row>
    <row r="593" spans="1:8" x14ac:dyDescent="0.3">
      <c r="A593">
        <v>592</v>
      </c>
      <c r="B593" s="1">
        <v>45878</v>
      </c>
      <c r="C593" s="2">
        <v>0.43194444444444446</v>
      </c>
      <c r="D593" t="s">
        <v>8</v>
      </c>
      <c r="E593" t="s">
        <v>9</v>
      </c>
      <c r="F593">
        <v>1000</v>
      </c>
      <c r="G593" t="s">
        <v>68</v>
      </c>
      <c r="H593" t="s">
        <v>154</v>
      </c>
    </row>
    <row r="594" spans="1:8" x14ac:dyDescent="0.3">
      <c r="A594">
        <v>593</v>
      </c>
      <c r="B594" s="1">
        <v>45878</v>
      </c>
      <c r="C594" s="2">
        <v>0.52222222222222225</v>
      </c>
      <c r="D594" t="s">
        <v>8</v>
      </c>
      <c r="E594" t="s">
        <v>9</v>
      </c>
      <c r="F594">
        <v>1000</v>
      </c>
      <c r="G594" t="s">
        <v>68</v>
      </c>
      <c r="H594" t="s">
        <v>154</v>
      </c>
    </row>
    <row r="595" spans="1:8" x14ac:dyDescent="0.3">
      <c r="A595">
        <v>594</v>
      </c>
      <c r="B595" s="1">
        <v>45878</v>
      </c>
      <c r="C595" s="2">
        <v>0.74097222222222225</v>
      </c>
      <c r="D595" t="s">
        <v>22</v>
      </c>
      <c r="E595" t="s">
        <v>23</v>
      </c>
      <c r="F595">
        <v>2400</v>
      </c>
      <c r="G595" t="s">
        <v>155</v>
      </c>
      <c r="H595" t="s">
        <v>154</v>
      </c>
    </row>
    <row r="596" spans="1:8" x14ac:dyDescent="0.3">
      <c r="A596">
        <v>595</v>
      </c>
      <c r="B596" s="1">
        <v>45878</v>
      </c>
      <c r="C596" s="2">
        <v>0.75763888888888886</v>
      </c>
      <c r="D596" t="s">
        <v>8</v>
      </c>
      <c r="E596" t="s">
        <v>9</v>
      </c>
      <c r="F596">
        <v>600</v>
      </c>
      <c r="G596" t="s">
        <v>158</v>
      </c>
      <c r="H596" t="s">
        <v>154</v>
      </c>
    </row>
    <row r="597" spans="1:8" x14ac:dyDescent="0.3">
      <c r="A597">
        <v>596</v>
      </c>
      <c r="B597" s="1">
        <v>45878</v>
      </c>
      <c r="C597" s="2">
        <v>0.75902777777777775</v>
      </c>
      <c r="D597" t="s">
        <v>8</v>
      </c>
      <c r="E597" t="s">
        <v>9</v>
      </c>
      <c r="F597">
        <v>600</v>
      </c>
      <c r="G597" t="s">
        <v>158</v>
      </c>
      <c r="H597" t="s">
        <v>154</v>
      </c>
    </row>
    <row r="598" spans="1:8" x14ac:dyDescent="0.3">
      <c r="A598">
        <v>597</v>
      </c>
      <c r="B598" s="1">
        <v>45878</v>
      </c>
      <c r="C598" s="2">
        <v>0.76111111111111107</v>
      </c>
      <c r="D598" t="s">
        <v>8</v>
      </c>
      <c r="E598" t="s">
        <v>9</v>
      </c>
      <c r="F598">
        <v>600</v>
      </c>
      <c r="G598" t="s">
        <v>158</v>
      </c>
      <c r="H598" t="s">
        <v>154</v>
      </c>
    </row>
    <row r="599" spans="1:8" x14ac:dyDescent="0.3">
      <c r="A599">
        <v>598</v>
      </c>
      <c r="B599" s="1">
        <v>45878</v>
      </c>
      <c r="C599" s="2">
        <v>0.7631944444444444</v>
      </c>
      <c r="D599" t="s">
        <v>8</v>
      </c>
      <c r="E599" t="s">
        <v>9</v>
      </c>
      <c r="F599">
        <v>600</v>
      </c>
      <c r="G599" t="s">
        <v>158</v>
      </c>
      <c r="H599" t="s">
        <v>154</v>
      </c>
    </row>
    <row r="600" spans="1:8" x14ac:dyDescent="0.3">
      <c r="A600">
        <v>599</v>
      </c>
      <c r="B600" s="1">
        <v>45878</v>
      </c>
      <c r="C600" s="2">
        <v>0.82222222222222219</v>
      </c>
      <c r="D600" t="s">
        <v>8</v>
      </c>
      <c r="E600" t="s">
        <v>9</v>
      </c>
      <c r="F600">
        <v>10</v>
      </c>
      <c r="G600" t="s">
        <v>159</v>
      </c>
      <c r="H600" t="s">
        <v>154</v>
      </c>
    </row>
    <row r="601" spans="1:8" x14ac:dyDescent="0.3">
      <c r="A601">
        <v>600</v>
      </c>
      <c r="B601" s="1">
        <v>45879</v>
      </c>
      <c r="C601" s="2">
        <v>0.18958333333333333</v>
      </c>
      <c r="D601" t="s">
        <v>49</v>
      </c>
      <c r="E601" t="s">
        <v>23</v>
      </c>
      <c r="F601">
        <v>172</v>
      </c>
      <c r="G601" t="s">
        <v>144</v>
      </c>
      <c r="H601" t="s">
        <v>154</v>
      </c>
    </row>
    <row r="602" spans="1:8" x14ac:dyDescent="0.3">
      <c r="A602">
        <v>601</v>
      </c>
      <c r="B602" s="1">
        <v>45879</v>
      </c>
      <c r="C602" s="2">
        <v>0.18958333333333333</v>
      </c>
      <c r="D602" t="s">
        <v>49</v>
      </c>
      <c r="E602" t="s">
        <v>23</v>
      </c>
      <c r="F602">
        <v>172</v>
      </c>
      <c r="G602" t="s">
        <v>145</v>
      </c>
      <c r="H602" t="s">
        <v>154</v>
      </c>
    </row>
    <row r="603" spans="1:8" x14ac:dyDescent="0.3">
      <c r="A603">
        <v>602</v>
      </c>
      <c r="B603" s="1">
        <v>45879</v>
      </c>
      <c r="C603" s="2">
        <v>0.2986111111111111</v>
      </c>
      <c r="D603" t="s">
        <v>49</v>
      </c>
      <c r="E603" t="s">
        <v>9</v>
      </c>
      <c r="F603">
        <v>170</v>
      </c>
      <c r="G603" t="s">
        <v>50</v>
      </c>
      <c r="H603" t="s">
        <v>154</v>
      </c>
    </row>
    <row r="604" spans="1:8" x14ac:dyDescent="0.3">
      <c r="A604">
        <v>603</v>
      </c>
      <c r="B604" s="1">
        <v>45879</v>
      </c>
      <c r="C604" s="2">
        <v>0.55347222222222225</v>
      </c>
      <c r="D604" t="s">
        <v>8</v>
      </c>
      <c r="E604" t="s">
        <v>9</v>
      </c>
      <c r="F604">
        <v>4500</v>
      </c>
      <c r="G604" t="s">
        <v>74</v>
      </c>
      <c r="H604" t="s">
        <v>154</v>
      </c>
    </row>
    <row r="605" spans="1:8" x14ac:dyDescent="0.3">
      <c r="A605">
        <v>604</v>
      </c>
      <c r="B605" s="1">
        <v>45880</v>
      </c>
      <c r="C605" s="2">
        <v>0.31111111111111112</v>
      </c>
      <c r="D605" t="s">
        <v>22</v>
      </c>
      <c r="E605" t="s">
        <v>23</v>
      </c>
      <c r="F605">
        <v>200</v>
      </c>
      <c r="G605" t="s">
        <v>160</v>
      </c>
      <c r="H605" t="s">
        <v>154</v>
      </c>
    </row>
    <row r="606" spans="1:8" x14ac:dyDescent="0.3">
      <c r="A606">
        <v>605</v>
      </c>
      <c r="B606" s="1">
        <v>45880</v>
      </c>
      <c r="C606" s="2">
        <v>0.52847222222222223</v>
      </c>
      <c r="D606" t="s">
        <v>8</v>
      </c>
      <c r="E606" t="s">
        <v>9</v>
      </c>
      <c r="F606">
        <v>40</v>
      </c>
      <c r="G606" t="s">
        <v>161</v>
      </c>
      <c r="H606" t="s">
        <v>154</v>
      </c>
    </row>
    <row r="607" spans="1:8" x14ac:dyDescent="0.3">
      <c r="A607">
        <v>606</v>
      </c>
      <c r="B607" s="1">
        <v>45880</v>
      </c>
      <c r="C607" s="2">
        <v>0.56597222222222221</v>
      </c>
      <c r="D607" t="s">
        <v>8</v>
      </c>
      <c r="E607" t="s">
        <v>9</v>
      </c>
      <c r="F607">
        <v>40</v>
      </c>
      <c r="G607" t="s">
        <v>162</v>
      </c>
      <c r="H607" t="s">
        <v>154</v>
      </c>
    </row>
    <row r="608" spans="1:8" x14ac:dyDescent="0.3">
      <c r="A608">
        <v>607</v>
      </c>
      <c r="B608" s="1">
        <v>45880</v>
      </c>
      <c r="C608" s="2">
        <v>0.59166666666666667</v>
      </c>
      <c r="D608" t="s">
        <v>8</v>
      </c>
      <c r="E608" t="s">
        <v>9</v>
      </c>
      <c r="F608">
        <v>100</v>
      </c>
      <c r="G608" t="s">
        <v>30</v>
      </c>
      <c r="H608" t="s">
        <v>154</v>
      </c>
    </row>
    <row r="609" spans="1:8" x14ac:dyDescent="0.3">
      <c r="A609">
        <v>608</v>
      </c>
      <c r="B609" s="1">
        <v>45880</v>
      </c>
      <c r="C609" s="2">
        <v>0.62569444444444444</v>
      </c>
      <c r="D609" t="s">
        <v>16</v>
      </c>
      <c r="E609" t="s">
        <v>9</v>
      </c>
      <c r="F609">
        <v>40</v>
      </c>
      <c r="G609" t="s">
        <v>17</v>
      </c>
      <c r="H609" t="s">
        <v>154</v>
      </c>
    </row>
    <row r="610" spans="1:8" x14ac:dyDescent="0.3">
      <c r="A610">
        <v>609</v>
      </c>
      <c r="B610" s="1">
        <v>45880</v>
      </c>
      <c r="C610" s="2">
        <v>0.7729166666666667</v>
      </c>
      <c r="D610" t="s">
        <v>22</v>
      </c>
      <c r="E610" t="s">
        <v>23</v>
      </c>
      <c r="F610">
        <v>100</v>
      </c>
      <c r="G610" t="s">
        <v>30</v>
      </c>
      <c r="H610" t="s">
        <v>154</v>
      </c>
    </row>
    <row r="611" spans="1:8" x14ac:dyDescent="0.3">
      <c r="A611">
        <v>610</v>
      </c>
      <c r="B611" s="1">
        <v>45880</v>
      </c>
      <c r="C611" s="2">
        <v>0.86527777777777781</v>
      </c>
      <c r="D611" t="s">
        <v>8</v>
      </c>
      <c r="E611" t="s">
        <v>9</v>
      </c>
      <c r="F611">
        <v>2571</v>
      </c>
      <c r="G611" t="s">
        <v>74</v>
      </c>
      <c r="H611" t="s">
        <v>154</v>
      </c>
    </row>
    <row r="612" spans="1:8" x14ac:dyDescent="0.3">
      <c r="A612">
        <v>611</v>
      </c>
      <c r="B612" s="1">
        <v>45881</v>
      </c>
      <c r="C612" s="2">
        <v>0.43958333333333333</v>
      </c>
      <c r="D612" t="s">
        <v>22</v>
      </c>
      <c r="E612" t="s">
        <v>23</v>
      </c>
      <c r="F612">
        <v>167</v>
      </c>
      <c r="G612" t="s">
        <v>12</v>
      </c>
      <c r="H612" t="s">
        <v>154</v>
      </c>
    </row>
    <row r="613" spans="1:8" x14ac:dyDescent="0.3">
      <c r="A613">
        <v>612</v>
      </c>
      <c r="B613" s="1">
        <v>45881</v>
      </c>
      <c r="C613" s="2">
        <v>0.43958333333333333</v>
      </c>
      <c r="D613" t="s">
        <v>22</v>
      </c>
      <c r="E613" t="s">
        <v>23</v>
      </c>
      <c r="F613">
        <v>263</v>
      </c>
      <c r="G613" t="s">
        <v>35</v>
      </c>
      <c r="H613" t="s">
        <v>154</v>
      </c>
    </row>
    <row r="614" spans="1:8" x14ac:dyDescent="0.3">
      <c r="A614">
        <v>613</v>
      </c>
      <c r="B614" s="1">
        <v>45881</v>
      </c>
      <c r="C614" s="2">
        <v>0.44097222222222221</v>
      </c>
      <c r="D614" t="s">
        <v>22</v>
      </c>
      <c r="E614" t="s">
        <v>23</v>
      </c>
      <c r="F614">
        <v>100</v>
      </c>
      <c r="G614" t="s">
        <v>12</v>
      </c>
      <c r="H614" t="s">
        <v>154</v>
      </c>
    </row>
    <row r="615" spans="1:8" x14ac:dyDescent="0.3">
      <c r="A615">
        <v>614</v>
      </c>
      <c r="B615" s="1">
        <v>45881</v>
      </c>
      <c r="C615" s="2">
        <v>0.44374999999999998</v>
      </c>
      <c r="D615" t="s">
        <v>8</v>
      </c>
      <c r="E615" t="s">
        <v>9</v>
      </c>
      <c r="F615">
        <v>1000</v>
      </c>
      <c r="G615" t="s">
        <v>21</v>
      </c>
      <c r="H615" t="s">
        <v>154</v>
      </c>
    </row>
    <row r="616" spans="1:8" x14ac:dyDescent="0.3">
      <c r="A616">
        <v>615</v>
      </c>
      <c r="B616" s="1">
        <v>45881</v>
      </c>
      <c r="C616" s="2">
        <v>0.51180555555555551</v>
      </c>
      <c r="D616" t="s">
        <v>22</v>
      </c>
      <c r="E616" t="s">
        <v>23</v>
      </c>
      <c r="F616">
        <v>800</v>
      </c>
      <c r="G616" t="s">
        <v>30</v>
      </c>
      <c r="H616" t="s">
        <v>154</v>
      </c>
    </row>
    <row r="617" spans="1:8" x14ac:dyDescent="0.3">
      <c r="A617">
        <v>616</v>
      </c>
      <c r="B617" s="1">
        <v>45881</v>
      </c>
      <c r="C617" s="2">
        <v>0.7631944444444444</v>
      </c>
      <c r="D617" t="s">
        <v>8</v>
      </c>
      <c r="E617" t="s">
        <v>9</v>
      </c>
      <c r="F617">
        <v>100</v>
      </c>
      <c r="G617" t="s">
        <v>68</v>
      </c>
      <c r="H617" t="s">
        <v>154</v>
      </c>
    </row>
    <row r="618" spans="1:8" x14ac:dyDescent="0.3">
      <c r="A618">
        <v>617</v>
      </c>
      <c r="B618" s="1">
        <v>45882</v>
      </c>
      <c r="C618" s="2">
        <v>0.30694444444444446</v>
      </c>
      <c r="D618" t="s">
        <v>8</v>
      </c>
      <c r="E618" t="s">
        <v>9</v>
      </c>
      <c r="F618">
        <v>10</v>
      </c>
      <c r="G618" t="s">
        <v>35</v>
      </c>
      <c r="H618" t="s">
        <v>154</v>
      </c>
    </row>
    <row r="619" spans="1:8" x14ac:dyDescent="0.3">
      <c r="A619">
        <v>618</v>
      </c>
      <c r="B619" s="1">
        <v>45882</v>
      </c>
      <c r="C619" s="2">
        <v>0.81874999999999998</v>
      </c>
      <c r="D619" t="s">
        <v>8</v>
      </c>
      <c r="E619" t="s">
        <v>9</v>
      </c>
      <c r="F619">
        <v>533</v>
      </c>
      <c r="G619" t="s">
        <v>35</v>
      </c>
      <c r="H619" t="s">
        <v>154</v>
      </c>
    </row>
    <row r="620" spans="1:8" x14ac:dyDescent="0.3">
      <c r="A620">
        <v>619</v>
      </c>
      <c r="B620" s="1">
        <v>45882</v>
      </c>
      <c r="C620" s="2">
        <v>0.82777777777777772</v>
      </c>
      <c r="D620" t="s">
        <v>8</v>
      </c>
      <c r="E620" t="s">
        <v>9</v>
      </c>
      <c r="F620">
        <v>350</v>
      </c>
      <c r="G620" t="s">
        <v>163</v>
      </c>
      <c r="H620" t="s">
        <v>154</v>
      </c>
    </row>
    <row r="621" spans="1:8" x14ac:dyDescent="0.3">
      <c r="A621">
        <v>620</v>
      </c>
      <c r="B621" s="1">
        <v>45882</v>
      </c>
      <c r="C621" s="2">
        <v>0.83125000000000004</v>
      </c>
      <c r="D621" t="s">
        <v>8</v>
      </c>
      <c r="E621" t="s">
        <v>9</v>
      </c>
      <c r="F621">
        <v>40</v>
      </c>
      <c r="G621" t="s">
        <v>164</v>
      </c>
      <c r="H621" t="s">
        <v>154</v>
      </c>
    </row>
    <row r="622" spans="1:8" x14ac:dyDescent="0.3">
      <c r="A622">
        <v>621</v>
      </c>
      <c r="B622" s="1">
        <v>45882</v>
      </c>
      <c r="C622" s="2">
        <v>0.83888888888888891</v>
      </c>
      <c r="D622" t="s">
        <v>22</v>
      </c>
      <c r="E622" t="s">
        <v>23</v>
      </c>
      <c r="F622">
        <v>510</v>
      </c>
      <c r="G622" t="s">
        <v>59</v>
      </c>
      <c r="H622" t="s">
        <v>154</v>
      </c>
    </row>
    <row r="623" spans="1:8" x14ac:dyDescent="0.3">
      <c r="A623">
        <v>622</v>
      </c>
      <c r="B623" s="1">
        <v>45882</v>
      </c>
      <c r="C623" s="2">
        <v>0.88194444444444442</v>
      </c>
      <c r="D623" t="s">
        <v>8</v>
      </c>
      <c r="E623" t="s">
        <v>9</v>
      </c>
      <c r="F623">
        <v>510</v>
      </c>
      <c r="G623" t="s">
        <v>68</v>
      </c>
      <c r="H623" t="s">
        <v>154</v>
      </c>
    </row>
    <row r="624" spans="1:8" x14ac:dyDescent="0.3">
      <c r="A624">
        <v>623</v>
      </c>
      <c r="B624" s="1">
        <v>45883</v>
      </c>
      <c r="C624" s="2">
        <v>0.49930555555555556</v>
      </c>
      <c r="D624" t="s">
        <v>8</v>
      </c>
      <c r="E624" t="s">
        <v>9</v>
      </c>
      <c r="F624">
        <v>1000</v>
      </c>
      <c r="G624" t="s">
        <v>33</v>
      </c>
      <c r="H624" t="s">
        <v>154</v>
      </c>
    </row>
    <row r="625" spans="1:8" x14ac:dyDescent="0.3">
      <c r="A625">
        <v>624</v>
      </c>
      <c r="B625" s="1">
        <v>45883</v>
      </c>
      <c r="C625" s="2">
        <v>0.50972222222222219</v>
      </c>
      <c r="D625" t="s">
        <v>22</v>
      </c>
      <c r="E625" t="s">
        <v>23</v>
      </c>
      <c r="F625">
        <v>26000</v>
      </c>
      <c r="G625" t="s">
        <v>30</v>
      </c>
      <c r="H625" t="s">
        <v>154</v>
      </c>
    </row>
    <row r="626" spans="1:8" x14ac:dyDescent="0.3">
      <c r="A626">
        <v>625</v>
      </c>
      <c r="B626" s="1">
        <v>45883</v>
      </c>
      <c r="C626" s="2">
        <v>0.53472222222222221</v>
      </c>
      <c r="D626" t="s">
        <v>8</v>
      </c>
      <c r="E626" t="s">
        <v>9</v>
      </c>
      <c r="F626">
        <v>3000</v>
      </c>
      <c r="G626" t="s">
        <v>21</v>
      </c>
      <c r="H626" t="s">
        <v>154</v>
      </c>
    </row>
    <row r="627" spans="1:8" x14ac:dyDescent="0.3">
      <c r="A627">
        <v>626</v>
      </c>
      <c r="B627" s="1">
        <v>45883</v>
      </c>
      <c r="C627" s="2">
        <v>0.53541666666666665</v>
      </c>
      <c r="D627" t="s">
        <v>16</v>
      </c>
      <c r="E627" t="s">
        <v>9</v>
      </c>
      <c r="F627">
        <v>500</v>
      </c>
      <c r="G627" t="s">
        <v>17</v>
      </c>
      <c r="H627" t="s">
        <v>154</v>
      </c>
    </row>
    <row r="628" spans="1:8" x14ac:dyDescent="0.3">
      <c r="A628">
        <v>627</v>
      </c>
      <c r="B628" s="1">
        <v>45883</v>
      </c>
      <c r="C628" s="2">
        <v>0.84444444444444444</v>
      </c>
      <c r="D628" t="s">
        <v>8</v>
      </c>
      <c r="E628" t="s">
        <v>9</v>
      </c>
      <c r="F628">
        <v>30</v>
      </c>
      <c r="G628" t="s">
        <v>165</v>
      </c>
      <c r="H628" t="s">
        <v>154</v>
      </c>
    </row>
    <row r="629" spans="1:8" x14ac:dyDescent="0.3">
      <c r="A629">
        <v>628</v>
      </c>
      <c r="B629" s="1">
        <v>45883</v>
      </c>
      <c r="C629" s="2">
        <v>0.8930555555555556</v>
      </c>
      <c r="D629" t="s">
        <v>8</v>
      </c>
      <c r="E629" t="s">
        <v>9</v>
      </c>
      <c r="F629">
        <v>1000</v>
      </c>
      <c r="G629" t="s">
        <v>146</v>
      </c>
      <c r="H629" t="s">
        <v>154</v>
      </c>
    </row>
    <row r="630" spans="1:8" x14ac:dyDescent="0.3">
      <c r="A630">
        <v>629</v>
      </c>
      <c r="B630" s="1">
        <v>45884</v>
      </c>
      <c r="C630" s="2">
        <v>0.46666666666666667</v>
      </c>
      <c r="D630" t="s">
        <v>8</v>
      </c>
      <c r="E630" t="s">
        <v>9</v>
      </c>
      <c r="F630">
        <v>10</v>
      </c>
      <c r="G630" t="s">
        <v>74</v>
      </c>
      <c r="H630" t="s">
        <v>154</v>
      </c>
    </row>
    <row r="631" spans="1:8" x14ac:dyDescent="0.3">
      <c r="A631">
        <v>630</v>
      </c>
      <c r="B631" s="1">
        <v>45884</v>
      </c>
      <c r="C631" s="2">
        <v>0.86388888888888893</v>
      </c>
      <c r="D631" t="s">
        <v>8</v>
      </c>
      <c r="E631" t="s">
        <v>9</v>
      </c>
      <c r="F631">
        <v>19</v>
      </c>
      <c r="G631" t="s">
        <v>166</v>
      </c>
      <c r="H631" t="s">
        <v>154</v>
      </c>
    </row>
    <row r="632" spans="1:8" x14ac:dyDescent="0.3">
      <c r="A632">
        <v>631</v>
      </c>
      <c r="B632" s="1">
        <v>45884</v>
      </c>
      <c r="C632" s="2">
        <v>0.93194444444444446</v>
      </c>
      <c r="D632" t="s">
        <v>8</v>
      </c>
      <c r="E632" t="s">
        <v>9</v>
      </c>
      <c r="F632">
        <v>230</v>
      </c>
      <c r="G632" t="s">
        <v>167</v>
      </c>
      <c r="H632" t="s">
        <v>154</v>
      </c>
    </row>
    <row r="633" spans="1:8" x14ac:dyDescent="0.3">
      <c r="A633">
        <v>632</v>
      </c>
      <c r="B633" s="1">
        <v>45884</v>
      </c>
      <c r="C633" s="2">
        <v>0.93333333333333335</v>
      </c>
      <c r="D633" t="s">
        <v>8</v>
      </c>
      <c r="E633" t="s">
        <v>9</v>
      </c>
      <c r="F633">
        <v>100</v>
      </c>
      <c r="G633" t="s">
        <v>168</v>
      </c>
      <c r="H633" t="s">
        <v>154</v>
      </c>
    </row>
    <row r="634" spans="1:8" x14ac:dyDescent="0.3">
      <c r="A634">
        <v>633</v>
      </c>
      <c r="B634" s="1">
        <v>45885</v>
      </c>
      <c r="C634" s="2">
        <v>0.37013888888888891</v>
      </c>
      <c r="D634" t="s">
        <v>8</v>
      </c>
      <c r="E634" t="s">
        <v>9</v>
      </c>
      <c r="F634">
        <v>20</v>
      </c>
      <c r="G634" t="s">
        <v>74</v>
      </c>
      <c r="H634" t="s">
        <v>154</v>
      </c>
    </row>
    <row r="635" spans="1:8" x14ac:dyDescent="0.3">
      <c r="A635">
        <v>634</v>
      </c>
      <c r="B635" s="1">
        <v>45885</v>
      </c>
      <c r="C635" s="2">
        <v>0.39444444444444443</v>
      </c>
      <c r="D635" t="s">
        <v>22</v>
      </c>
      <c r="E635" t="s">
        <v>23</v>
      </c>
      <c r="F635">
        <v>350</v>
      </c>
      <c r="G635" t="s">
        <v>74</v>
      </c>
      <c r="H635" t="s">
        <v>154</v>
      </c>
    </row>
    <row r="636" spans="1:8" x14ac:dyDescent="0.3">
      <c r="A636">
        <v>635</v>
      </c>
      <c r="B636" s="1">
        <v>45885</v>
      </c>
      <c r="C636" s="2">
        <v>0.42083333333333334</v>
      </c>
      <c r="D636" t="s">
        <v>8</v>
      </c>
      <c r="E636" t="s">
        <v>9</v>
      </c>
      <c r="F636">
        <v>5000</v>
      </c>
      <c r="G636" t="s">
        <v>74</v>
      </c>
      <c r="H636" t="s">
        <v>154</v>
      </c>
    </row>
    <row r="637" spans="1:8" x14ac:dyDescent="0.3">
      <c r="A637">
        <v>636</v>
      </c>
      <c r="B637" s="1">
        <v>45885</v>
      </c>
      <c r="C637" s="2">
        <v>0.6430555555555556</v>
      </c>
      <c r="D637" t="s">
        <v>22</v>
      </c>
      <c r="E637" t="s">
        <v>23</v>
      </c>
      <c r="F637">
        <v>14000</v>
      </c>
      <c r="G637" t="s">
        <v>156</v>
      </c>
      <c r="H637" t="s">
        <v>154</v>
      </c>
    </row>
    <row r="638" spans="1:8" x14ac:dyDescent="0.3">
      <c r="A638">
        <v>637</v>
      </c>
      <c r="B638" s="1">
        <v>45885</v>
      </c>
      <c r="C638" s="2">
        <v>0.64583333333333337</v>
      </c>
      <c r="D638" t="s">
        <v>18</v>
      </c>
      <c r="E638" t="s">
        <v>9</v>
      </c>
      <c r="F638">
        <v>34000</v>
      </c>
      <c r="G638" t="s">
        <v>19</v>
      </c>
      <c r="H638" t="s">
        <v>154</v>
      </c>
    </row>
    <row r="639" spans="1:8" x14ac:dyDescent="0.3">
      <c r="A639">
        <v>638</v>
      </c>
      <c r="B639" s="1">
        <v>45885</v>
      </c>
      <c r="C639" s="2">
        <v>0.68888888888888888</v>
      </c>
      <c r="D639" t="s">
        <v>22</v>
      </c>
      <c r="E639" t="s">
        <v>23</v>
      </c>
      <c r="F639">
        <v>14</v>
      </c>
      <c r="G639" t="s">
        <v>74</v>
      </c>
      <c r="H639" t="s">
        <v>154</v>
      </c>
    </row>
    <row r="640" spans="1:8" x14ac:dyDescent="0.3">
      <c r="A640">
        <v>639</v>
      </c>
      <c r="B640" s="1">
        <v>45885</v>
      </c>
      <c r="C640" s="2">
        <v>0.8881944444444444</v>
      </c>
      <c r="D640" t="s">
        <v>22</v>
      </c>
      <c r="E640" t="s">
        <v>23</v>
      </c>
      <c r="F640">
        <v>500</v>
      </c>
      <c r="G640" t="s">
        <v>12</v>
      </c>
      <c r="H640" t="s">
        <v>154</v>
      </c>
    </row>
    <row r="641" spans="1:8" x14ac:dyDescent="0.3">
      <c r="A641">
        <v>640</v>
      </c>
      <c r="B641" s="1">
        <v>45886</v>
      </c>
      <c r="C641" s="2">
        <v>0.65138888888888891</v>
      </c>
      <c r="D641" t="s">
        <v>22</v>
      </c>
      <c r="E641" t="s">
        <v>23</v>
      </c>
      <c r="F641">
        <v>100</v>
      </c>
      <c r="G641" t="s">
        <v>169</v>
      </c>
      <c r="H641" t="s">
        <v>154</v>
      </c>
    </row>
    <row r="642" spans="1:8" x14ac:dyDescent="0.3">
      <c r="A642">
        <v>641</v>
      </c>
      <c r="B642" s="1">
        <v>45886</v>
      </c>
      <c r="C642" s="2">
        <v>0.65347222222222223</v>
      </c>
      <c r="D642" t="s">
        <v>22</v>
      </c>
      <c r="E642" t="s">
        <v>23</v>
      </c>
      <c r="F642">
        <v>220</v>
      </c>
      <c r="G642" t="s">
        <v>12</v>
      </c>
      <c r="H642" t="s">
        <v>154</v>
      </c>
    </row>
    <row r="643" spans="1:8" x14ac:dyDescent="0.3">
      <c r="A643">
        <v>642</v>
      </c>
      <c r="B643" s="1">
        <v>45886</v>
      </c>
      <c r="C643" s="2">
        <v>0.71736111111111112</v>
      </c>
      <c r="D643" t="s">
        <v>8</v>
      </c>
      <c r="E643" t="s">
        <v>9</v>
      </c>
      <c r="F643">
        <v>30</v>
      </c>
      <c r="G643" t="s">
        <v>170</v>
      </c>
      <c r="H643" t="s">
        <v>154</v>
      </c>
    </row>
    <row r="644" spans="1:8" x14ac:dyDescent="0.3">
      <c r="A644">
        <v>643</v>
      </c>
      <c r="B644" s="1">
        <v>45886</v>
      </c>
      <c r="C644" s="2">
        <v>0.83750000000000002</v>
      </c>
      <c r="D644" t="s">
        <v>8</v>
      </c>
      <c r="E644" t="s">
        <v>9</v>
      </c>
      <c r="F644">
        <v>500</v>
      </c>
      <c r="G644" t="s">
        <v>146</v>
      </c>
      <c r="H644" t="s">
        <v>154</v>
      </c>
    </row>
    <row r="645" spans="1:8" x14ac:dyDescent="0.3">
      <c r="A645">
        <v>644</v>
      </c>
      <c r="B645" s="1">
        <v>45886</v>
      </c>
      <c r="C645" s="2">
        <v>0.87291666666666667</v>
      </c>
      <c r="D645" t="s">
        <v>22</v>
      </c>
      <c r="E645" t="s">
        <v>23</v>
      </c>
      <c r="F645">
        <v>2000</v>
      </c>
      <c r="G645" t="s">
        <v>156</v>
      </c>
      <c r="H645" t="s">
        <v>154</v>
      </c>
    </row>
    <row r="646" spans="1:8" x14ac:dyDescent="0.3">
      <c r="A646">
        <v>645</v>
      </c>
      <c r="B646" s="1">
        <v>45886</v>
      </c>
      <c r="C646" s="2">
        <v>0.88472222222222219</v>
      </c>
      <c r="D646" t="s">
        <v>8</v>
      </c>
      <c r="E646" t="s">
        <v>9</v>
      </c>
      <c r="F646">
        <v>1000</v>
      </c>
      <c r="G646" t="s">
        <v>21</v>
      </c>
      <c r="H646" t="s">
        <v>154</v>
      </c>
    </row>
    <row r="647" spans="1:8" x14ac:dyDescent="0.3">
      <c r="A647">
        <v>646</v>
      </c>
      <c r="B647" s="1">
        <v>45886</v>
      </c>
      <c r="C647" s="2">
        <v>0.98124999999999996</v>
      </c>
      <c r="D647" t="s">
        <v>22</v>
      </c>
      <c r="E647" t="s">
        <v>23</v>
      </c>
      <c r="F647">
        <v>2000</v>
      </c>
      <c r="G647" t="s">
        <v>33</v>
      </c>
      <c r="H647" t="s">
        <v>154</v>
      </c>
    </row>
    <row r="648" spans="1:8" x14ac:dyDescent="0.3">
      <c r="A648">
        <v>647</v>
      </c>
      <c r="B648" s="1">
        <v>45886</v>
      </c>
      <c r="C648" s="2">
        <v>0.9819444444444444</v>
      </c>
      <c r="D648" t="s">
        <v>22</v>
      </c>
      <c r="E648" t="s">
        <v>23</v>
      </c>
      <c r="F648">
        <v>4</v>
      </c>
      <c r="G648" t="s">
        <v>33</v>
      </c>
      <c r="H648" t="s">
        <v>154</v>
      </c>
    </row>
    <row r="649" spans="1:8" x14ac:dyDescent="0.3">
      <c r="A649">
        <v>648</v>
      </c>
      <c r="B649" s="1">
        <v>45886</v>
      </c>
      <c r="C649" s="2">
        <v>0.9819444444444444</v>
      </c>
      <c r="D649" t="s">
        <v>8</v>
      </c>
      <c r="E649" t="s">
        <v>9</v>
      </c>
      <c r="F649">
        <v>2003.54</v>
      </c>
      <c r="G649" t="s">
        <v>171</v>
      </c>
      <c r="H649" t="s">
        <v>154</v>
      </c>
    </row>
    <row r="650" spans="1:8" x14ac:dyDescent="0.3">
      <c r="A650">
        <v>649</v>
      </c>
      <c r="B650" s="1">
        <v>45887</v>
      </c>
      <c r="C650" s="2">
        <v>0.57847222222222228</v>
      </c>
      <c r="D650" t="s">
        <v>8</v>
      </c>
      <c r="E650" t="s">
        <v>9</v>
      </c>
      <c r="F650">
        <v>18000</v>
      </c>
      <c r="G650" t="s">
        <v>172</v>
      </c>
      <c r="H650" t="s">
        <v>154</v>
      </c>
    </row>
    <row r="651" spans="1:8" x14ac:dyDescent="0.3">
      <c r="A651">
        <v>650</v>
      </c>
      <c r="B651" s="1">
        <v>45888</v>
      </c>
      <c r="C651" s="2">
        <v>0.59652777777777777</v>
      </c>
      <c r="D651" t="s">
        <v>22</v>
      </c>
      <c r="E651" t="s">
        <v>23</v>
      </c>
      <c r="F651">
        <v>500</v>
      </c>
      <c r="G651" t="s">
        <v>68</v>
      </c>
      <c r="H651" t="s">
        <v>154</v>
      </c>
    </row>
    <row r="652" spans="1:8" x14ac:dyDescent="0.3">
      <c r="A652">
        <v>651</v>
      </c>
      <c r="B652" s="1">
        <v>45888</v>
      </c>
      <c r="C652" s="2">
        <v>0.79513888888888884</v>
      </c>
      <c r="D652" t="s">
        <v>8</v>
      </c>
      <c r="E652" t="s">
        <v>9</v>
      </c>
      <c r="F652">
        <v>34</v>
      </c>
      <c r="G652" t="s">
        <v>173</v>
      </c>
      <c r="H652" t="s">
        <v>154</v>
      </c>
    </row>
    <row r="653" spans="1:8" x14ac:dyDescent="0.3">
      <c r="A653">
        <v>652</v>
      </c>
      <c r="B653" s="1">
        <v>45888</v>
      </c>
      <c r="C653" s="2">
        <v>0.93472222222222223</v>
      </c>
      <c r="D653" t="s">
        <v>22</v>
      </c>
      <c r="E653" t="s">
        <v>23</v>
      </c>
      <c r="F653">
        <v>20</v>
      </c>
      <c r="G653" t="s">
        <v>74</v>
      </c>
      <c r="H653" t="s">
        <v>154</v>
      </c>
    </row>
    <row r="654" spans="1:8" x14ac:dyDescent="0.3">
      <c r="A654">
        <v>653</v>
      </c>
      <c r="B654" s="1">
        <v>45888</v>
      </c>
      <c r="C654" s="2">
        <v>0.93541666666666667</v>
      </c>
      <c r="D654" t="s">
        <v>8</v>
      </c>
      <c r="E654" t="s">
        <v>9</v>
      </c>
      <c r="F654">
        <v>15</v>
      </c>
      <c r="G654" t="s">
        <v>33</v>
      </c>
      <c r="H654" t="s">
        <v>154</v>
      </c>
    </row>
    <row r="655" spans="1:8" x14ac:dyDescent="0.3">
      <c r="A655">
        <v>654</v>
      </c>
      <c r="B655" s="1">
        <v>45889</v>
      </c>
      <c r="C655" s="2">
        <v>0.87222222222222223</v>
      </c>
      <c r="D655" t="s">
        <v>8</v>
      </c>
      <c r="E655" t="s">
        <v>9</v>
      </c>
      <c r="F655">
        <v>2000</v>
      </c>
      <c r="G655" t="s">
        <v>174</v>
      </c>
      <c r="H655" t="s">
        <v>154</v>
      </c>
    </row>
    <row r="656" spans="1:8" x14ac:dyDescent="0.3">
      <c r="A656">
        <v>655</v>
      </c>
      <c r="B656" s="1">
        <v>45889</v>
      </c>
      <c r="C656" s="2">
        <v>0.87291666666666667</v>
      </c>
      <c r="D656" t="s">
        <v>8</v>
      </c>
      <c r="E656" t="s">
        <v>9</v>
      </c>
      <c r="F656">
        <v>34</v>
      </c>
      <c r="G656" t="s">
        <v>174</v>
      </c>
      <c r="H656" t="s">
        <v>154</v>
      </c>
    </row>
    <row r="657" spans="1:8" x14ac:dyDescent="0.3">
      <c r="A657">
        <v>656</v>
      </c>
      <c r="B657" s="1">
        <v>45890</v>
      </c>
      <c r="C657" s="2">
        <v>0.47083333333333333</v>
      </c>
      <c r="D657" t="s">
        <v>8</v>
      </c>
      <c r="E657" t="s">
        <v>9</v>
      </c>
      <c r="F657">
        <v>500</v>
      </c>
      <c r="G657" t="s">
        <v>101</v>
      </c>
      <c r="H657" t="s">
        <v>154</v>
      </c>
    </row>
    <row r="658" spans="1:8" x14ac:dyDescent="0.3">
      <c r="A658">
        <v>657</v>
      </c>
      <c r="B658" s="1">
        <v>45890</v>
      </c>
      <c r="C658" s="2">
        <v>0.89722222222222225</v>
      </c>
      <c r="D658" t="s">
        <v>8</v>
      </c>
      <c r="E658" t="s">
        <v>9</v>
      </c>
      <c r="F658">
        <v>10</v>
      </c>
      <c r="G658" t="s">
        <v>175</v>
      </c>
      <c r="H658" t="s">
        <v>154</v>
      </c>
    </row>
    <row r="659" spans="1:8" x14ac:dyDescent="0.3">
      <c r="A659">
        <v>658</v>
      </c>
      <c r="B659" s="1">
        <v>45891</v>
      </c>
      <c r="C659" s="2">
        <v>0.45277777777777778</v>
      </c>
      <c r="D659" t="s">
        <v>22</v>
      </c>
      <c r="E659" t="s">
        <v>23</v>
      </c>
      <c r="F659">
        <v>50000</v>
      </c>
      <c r="G659" t="s">
        <v>176</v>
      </c>
      <c r="H659" t="s">
        <v>154</v>
      </c>
    </row>
    <row r="660" spans="1:8" x14ac:dyDescent="0.3">
      <c r="A660">
        <v>659</v>
      </c>
      <c r="B660" s="1">
        <v>45891</v>
      </c>
      <c r="C660" s="2">
        <v>0.46250000000000002</v>
      </c>
      <c r="D660" t="s">
        <v>22</v>
      </c>
      <c r="E660" t="s">
        <v>23</v>
      </c>
      <c r="F660">
        <v>30000</v>
      </c>
      <c r="G660" t="s">
        <v>176</v>
      </c>
      <c r="H660" t="s">
        <v>154</v>
      </c>
    </row>
    <row r="661" spans="1:8" x14ac:dyDescent="0.3">
      <c r="A661">
        <v>660</v>
      </c>
      <c r="B661" s="1">
        <v>45891</v>
      </c>
      <c r="C661" s="2">
        <v>0.49583333333333335</v>
      </c>
      <c r="D661" t="s">
        <v>18</v>
      </c>
      <c r="E661" t="s">
        <v>9</v>
      </c>
      <c r="F661">
        <v>50000</v>
      </c>
      <c r="G661" t="s">
        <v>19</v>
      </c>
      <c r="H661" t="s">
        <v>154</v>
      </c>
    </row>
    <row r="662" spans="1:8" x14ac:dyDescent="0.3">
      <c r="A662">
        <v>661</v>
      </c>
      <c r="B662" s="1">
        <v>45891</v>
      </c>
      <c r="C662" s="2">
        <v>0.49652777777777779</v>
      </c>
      <c r="D662" t="s">
        <v>18</v>
      </c>
      <c r="E662" t="s">
        <v>9</v>
      </c>
      <c r="F662">
        <v>30000</v>
      </c>
      <c r="G662" t="s">
        <v>19</v>
      </c>
      <c r="H662" t="s">
        <v>154</v>
      </c>
    </row>
    <row r="663" spans="1:8" x14ac:dyDescent="0.3">
      <c r="A663">
        <v>662</v>
      </c>
      <c r="B663" s="1">
        <v>45891</v>
      </c>
      <c r="C663" s="2">
        <v>0.71527777777777779</v>
      </c>
      <c r="D663" t="s">
        <v>22</v>
      </c>
      <c r="E663" t="s">
        <v>23</v>
      </c>
      <c r="F663">
        <v>100</v>
      </c>
      <c r="G663" t="s">
        <v>156</v>
      </c>
      <c r="H663" t="s">
        <v>154</v>
      </c>
    </row>
    <row r="664" spans="1:8" x14ac:dyDescent="0.3">
      <c r="A664">
        <v>663</v>
      </c>
      <c r="B664" s="1">
        <v>45892</v>
      </c>
      <c r="C664" s="2">
        <v>0.69374999999999998</v>
      </c>
      <c r="D664" t="s">
        <v>22</v>
      </c>
      <c r="E664" t="s">
        <v>23</v>
      </c>
      <c r="F664">
        <v>20000</v>
      </c>
      <c r="G664" t="s">
        <v>176</v>
      </c>
      <c r="H664" t="s">
        <v>154</v>
      </c>
    </row>
    <row r="665" spans="1:8" x14ac:dyDescent="0.3">
      <c r="A665">
        <v>664</v>
      </c>
      <c r="B665" s="1">
        <v>45892</v>
      </c>
      <c r="C665" s="2">
        <v>0.78888888888888886</v>
      </c>
      <c r="D665" t="s">
        <v>8</v>
      </c>
      <c r="E665" t="s">
        <v>9</v>
      </c>
      <c r="F665">
        <v>19000</v>
      </c>
      <c r="G665" t="s">
        <v>101</v>
      </c>
      <c r="H665" t="s">
        <v>154</v>
      </c>
    </row>
    <row r="666" spans="1:8" x14ac:dyDescent="0.3">
      <c r="A666">
        <v>665</v>
      </c>
      <c r="B666" s="1">
        <v>45892</v>
      </c>
      <c r="C666" s="2">
        <v>0.84375</v>
      </c>
      <c r="D666" t="s">
        <v>22</v>
      </c>
      <c r="E666" t="s">
        <v>23</v>
      </c>
      <c r="F666">
        <v>2000</v>
      </c>
      <c r="G666" t="s">
        <v>90</v>
      </c>
      <c r="H666" t="s">
        <v>154</v>
      </c>
    </row>
    <row r="667" spans="1:8" x14ac:dyDescent="0.3">
      <c r="A667">
        <v>666</v>
      </c>
      <c r="B667" s="1">
        <v>45893</v>
      </c>
      <c r="C667" s="2">
        <v>0.4236111111111111</v>
      </c>
      <c r="D667" t="s">
        <v>16</v>
      </c>
      <c r="E667" t="s">
        <v>9</v>
      </c>
      <c r="F667">
        <v>2000</v>
      </c>
      <c r="G667" t="s">
        <v>17</v>
      </c>
      <c r="H667" t="s">
        <v>154</v>
      </c>
    </row>
    <row r="668" spans="1:8" x14ac:dyDescent="0.3">
      <c r="A668">
        <v>667</v>
      </c>
      <c r="B668" s="1">
        <v>45893</v>
      </c>
      <c r="C668" s="2">
        <v>0.4909722222222222</v>
      </c>
      <c r="D668" t="s">
        <v>8</v>
      </c>
      <c r="E668" t="s">
        <v>9</v>
      </c>
      <c r="F668">
        <v>300</v>
      </c>
      <c r="G668" t="s">
        <v>68</v>
      </c>
      <c r="H668" t="s">
        <v>154</v>
      </c>
    </row>
    <row r="669" spans="1:8" x14ac:dyDescent="0.3">
      <c r="A669">
        <v>668</v>
      </c>
      <c r="B669" s="1">
        <v>45894</v>
      </c>
      <c r="C669" s="2">
        <v>0.47361111111111109</v>
      </c>
      <c r="D669" t="s">
        <v>18</v>
      </c>
      <c r="E669" t="s">
        <v>9</v>
      </c>
      <c r="F669">
        <v>15000</v>
      </c>
      <c r="G669" t="s">
        <v>19</v>
      </c>
      <c r="H669" t="s">
        <v>154</v>
      </c>
    </row>
    <row r="670" spans="1:8" x14ac:dyDescent="0.3">
      <c r="A670">
        <v>669</v>
      </c>
      <c r="B670" s="1">
        <v>45894</v>
      </c>
      <c r="C670" s="2">
        <v>0.86458333333333337</v>
      </c>
      <c r="D670" t="s">
        <v>8</v>
      </c>
      <c r="E670" t="s">
        <v>9</v>
      </c>
      <c r="F670">
        <v>45</v>
      </c>
      <c r="G670" t="s">
        <v>177</v>
      </c>
      <c r="H670" t="s">
        <v>154</v>
      </c>
    </row>
    <row r="671" spans="1:8" x14ac:dyDescent="0.3">
      <c r="A671">
        <v>670</v>
      </c>
      <c r="B671" s="1">
        <v>45894</v>
      </c>
      <c r="C671" s="2">
        <v>0.8666666666666667</v>
      </c>
      <c r="D671" t="s">
        <v>22</v>
      </c>
      <c r="E671" t="s">
        <v>23</v>
      </c>
      <c r="F671">
        <v>45</v>
      </c>
      <c r="G671" t="s">
        <v>10</v>
      </c>
      <c r="H671" t="s">
        <v>154</v>
      </c>
    </row>
    <row r="672" spans="1:8" x14ac:dyDescent="0.3">
      <c r="A672">
        <v>671</v>
      </c>
      <c r="B672" s="1">
        <v>45894</v>
      </c>
      <c r="C672" s="2">
        <v>0.87152777777777779</v>
      </c>
      <c r="D672" t="s">
        <v>22</v>
      </c>
      <c r="E672" t="s">
        <v>23</v>
      </c>
      <c r="F672">
        <v>7000</v>
      </c>
      <c r="G672" t="s">
        <v>10</v>
      </c>
      <c r="H672" t="s">
        <v>154</v>
      </c>
    </row>
    <row r="673" spans="1:8" x14ac:dyDescent="0.3">
      <c r="A673">
        <v>672</v>
      </c>
      <c r="B673" s="1">
        <v>45894</v>
      </c>
      <c r="C673" s="2">
        <v>0.87916666666666665</v>
      </c>
      <c r="D673" t="s">
        <v>8</v>
      </c>
      <c r="E673" t="s">
        <v>9</v>
      </c>
      <c r="F673">
        <v>1000</v>
      </c>
      <c r="G673" t="s">
        <v>101</v>
      </c>
      <c r="H673" t="s">
        <v>154</v>
      </c>
    </row>
    <row r="674" spans="1:8" x14ac:dyDescent="0.3">
      <c r="A674">
        <v>673</v>
      </c>
      <c r="B674" s="1">
        <v>45895</v>
      </c>
      <c r="C674" s="2">
        <v>0.54097222222222219</v>
      </c>
      <c r="D674" t="s">
        <v>8</v>
      </c>
      <c r="E674" t="s">
        <v>9</v>
      </c>
      <c r="F674">
        <v>500</v>
      </c>
      <c r="G674" t="s">
        <v>100</v>
      </c>
      <c r="H674" t="s">
        <v>154</v>
      </c>
    </row>
    <row r="675" spans="1:8" x14ac:dyDescent="0.3">
      <c r="A675">
        <v>674</v>
      </c>
      <c r="B675" s="1">
        <v>45895</v>
      </c>
      <c r="C675" s="2">
        <v>0.80486111111111114</v>
      </c>
      <c r="D675" t="s">
        <v>8</v>
      </c>
      <c r="E675" t="s">
        <v>9</v>
      </c>
      <c r="F675">
        <v>10</v>
      </c>
      <c r="G675" t="s">
        <v>175</v>
      </c>
      <c r="H675" t="s">
        <v>154</v>
      </c>
    </row>
    <row r="676" spans="1:8" x14ac:dyDescent="0.3">
      <c r="A676">
        <v>675</v>
      </c>
      <c r="B676" s="1">
        <v>45895</v>
      </c>
      <c r="C676" s="2">
        <v>0.98541666666666672</v>
      </c>
      <c r="D676" t="s">
        <v>22</v>
      </c>
      <c r="E676" t="s">
        <v>23</v>
      </c>
      <c r="F676">
        <v>500</v>
      </c>
      <c r="G676" t="s">
        <v>100</v>
      </c>
      <c r="H676" t="s">
        <v>154</v>
      </c>
    </row>
    <row r="677" spans="1:8" x14ac:dyDescent="0.3">
      <c r="A677">
        <v>676</v>
      </c>
      <c r="B677" s="1">
        <v>45896</v>
      </c>
      <c r="C677" s="2">
        <v>0.52430555555555558</v>
      </c>
      <c r="D677" t="s">
        <v>8</v>
      </c>
      <c r="E677" t="s">
        <v>9</v>
      </c>
      <c r="F677">
        <v>500</v>
      </c>
      <c r="G677" t="s">
        <v>59</v>
      </c>
      <c r="H677" t="s">
        <v>154</v>
      </c>
    </row>
    <row r="678" spans="1:8" x14ac:dyDescent="0.3">
      <c r="A678">
        <v>677</v>
      </c>
      <c r="B678" s="1">
        <v>45896</v>
      </c>
      <c r="C678" s="2">
        <v>0.84027777777777779</v>
      </c>
      <c r="D678" t="s">
        <v>22</v>
      </c>
      <c r="E678" t="s">
        <v>23</v>
      </c>
      <c r="F678">
        <v>1500</v>
      </c>
      <c r="G678" t="s">
        <v>178</v>
      </c>
      <c r="H678" t="s">
        <v>154</v>
      </c>
    </row>
    <row r="679" spans="1:8" x14ac:dyDescent="0.3">
      <c r="A679">
        <v>678</v>
      </c>
      <c r="B679" s="1">
        <v>45898</v>
      </c>
      <c r="C679" s="2">
        <v>0.7680555555555556</v>
      </c>
      <c r="D679" t="s">
        <v>8</v>
      </c>
      <c r="E679" t="s">
        <v>9</v>
      </c>
      <c r="F679">
        <v>60</v>
      </c>
      <c r="G679" t="s">
        <v>68</v>
      </c>
      <c r="H679" t="s">
        <v>154</v>
      </c>
    </row>
    <row r="680" spans="1:8" x14ac:dyDescent="0.3">
      <c r="A680">
        <v>679</v>
      </c>
      <c r="B680" s="1">
        <v>45899</v>
      </c>
      <c r="C680" s="2">
        <v>0.5229166666666667</v>
      </c>
      <c r="D680" t="s">
        <v>8</v>
      </c>
      <c r="E680" t="s">
        <v>9</v>
      </c>
      <c r="F680">
        <v>70</v>
      </c>
      <c r="G680" t="s">
        <v>179</v>
      </c>
      <c r="H680" t="s">
        <v>154</v>
      </c>
    </row>
    <row r="681" spans="1:8" x14ac:dyDescent="0.3">
      <c r="A681">
        <v>680</v>
      </c>
      <c r="B681" s="1">
        <v>45899</v>
      </c>
      <c r="C681" s="2">
        <v>0.73611111111111116</v>
      </c>
      <c r="D681" t="s">
        <v>8</v>
      </c>
      <c r="E681" t="s">
        <v>9</v>
      </c>
      <c r="F681">
        <v>72</v>
      </c>
      <c r="G681" t="s">
        <v>180</v>
      </c>
      <c r="H681" t="s">
        <v>154</v>
      </c>
    </row>
    <row r="682" spans="1:8" x14ac:dyDescent="0.3">
      <c r="A682">
        <v>681</v>
      </c>
      <c r="B682" s="1">
        <v>45899</v>
      </c>
      <c r="C682" s="2">
        <v>0.83611111111111114</v>
      </c>
      <c r="D682" t="s">
        <v>8</v>
      </c>
      <c r="E682" t="s">
        <v>9</v>
      </c>
      <c r="F682">
        <v>20</v>
      </c>
      <c r="G682" t="s">
        <v>164</v>
      </c>
      <c r="H682" t="s">
        <v>154</v>
      </c>
    </row>
    <row r="683" spans="1:8" x14ac:dyDescent="0.3">
      <c r="A683">
        <v>682</v>
      </c>
      <c r="B683" s="1">
        <v>45900</v>
      </c>
      <c r="C683" s="2">
        <v>0.73472222222222228</v>
      </c>
      <c r="D683" t="s">
        <v>8</v>
      </c>
      <c r="E683" t="s">
        <v>9</v>
      </c>
      <c r="F683">
        <v>704</v>
      </c>
      <c r="G683" t="s">
        <v>181</v>
      </c>
      <c r="H683" t="s">
        <v>154</v>
      </c>
    </row>
    <row r="684" spans="1:8" x14ac:dyDescent="0.3">
      <c r="A684">
        <v>683</v>
      </c>
      <c r="B684" s="1">
        <v>45900</v>
      </c>
      <c r="C684" s="2">
        <v>0.8256944444444444</v>
      </c>
      <c r="D684" t="s">
        <v>22</v>
      </c>
      <c r="E684" t="s">
        <v>23</v>
      </c>
      <c r="F684">
        <v>140</v>
      </c>
      <c r="G684" t="s">
        <v>12</v>
      </c>
      <c r="H684" t="s">
        <v>154</v>
      </c>
    </row>
    <row r="685" spans="1:8" x14ac:dyDescent="0.3">
      <c r="A685">
        <v>684</v>
      </c>
      <c r="B685" s="1">
        <v>45900</v>
      </c>
      <c r="C685" s="2">
        <v>0.92986111111111114</v>
      </c>
      <c r="D685" t="s">
        <v>8</v>
      </c>
      <c r="E685" t="s">
        <v>9</v>
      </c>
      <c r="F685">
        <v>28</v>
      </c>
      <c r="G685" t="s">
        <v>101</v>
      </c>
      <c r="H685" t="s">
        <v>154</v>
      </c>
    </row>
    <row r="686" spans="1:8" x14ac:dyDescent="0.3">
      <c r="A686">
        <v>685</v>
      </c>
      <c r="B686" s="1">
        <v>45900</v>
      </c>
      <c r="C686" s="2">
        <v>0.92986111111111114</v>
      </c>
      <c r="D686" t="s">
        <v>8</v>
      </c>
      <c r="E686" t="s">
        <v>9</v>
      </c>
      <c r="F686">
        <v>25</v>
      </c>
      <c r="G686" t="s">
        <v>33</v>
      </c>
      <c r="H686" t="s">
        <v>154</v>
      </c>
    </row>
    <row r="687" spans="1:8" x14ac:dyDescent="0.3">
      <c r="A687">
        <v>686</v>
      </c>
      <c r="B687" s="1">
        <v>45900</v>
      </c>
      <c r="C687" s="2">
        <v>0.93263888888888891</v>
      </c>
      <c r="D687" t="s">
        <v>22</v>
      </c>
      <c r="E687" t="s">
        <v>23</v>
      </c>
      <c r="F687">
        <v>20</v>
      </c>
      <c r="G687" t="s">
        <v>29</v>
      </c>
      <c r="H687" t="s">
        <v>154</v>
      </c>
    </row>
    <row r="688" spans="1:8" x14ac:dyDescent="0.3">
      <c r="A688">
        <v>687</v>
      </c>
      <c r="B688" s="1">
        <v>45901</v>
      </c>
      <c r="C688" s="2">
        <v>0.73055555555555551</v>
      </c>
      <c r="D688" t="s">
        <v>22</v>
      </c>
      <c r="E688" t="s">
        <v>23</v>
      </c>
      <c r="F688">
        <v>450</v>
      </c>
      <c r="G688" t="s">
        <v>68</v>
      </c>
      <c r="H688" t="s">
        <v>182</v>
      </c>
    </row>
    <row r="689" spans="1:8" x14ac:dyDescent="0.3">
      <c r="A689">
        <v>688</v>
      </c>
      <c r="B689" s="1">
        <v>45902</v>
      </c>
      <c r="C689" s="2">
        <v>0.38611111111111113</v>
      </c>
      <c r="D689" t="s">
        <v>22</v>
      </c>
      <c r="E689" t="s">
        <v>23</v>
      </c>
      <c r="F689">
        <v>367</v>
      </c>
      <c r="G689" t="s">
        <v>12</v>
      </c>
      <c r="H689" t="s">
        <v>182</v>
      </c>
    </row>
    <row r="690" spans="1:8" x14ac:dyDescent="0.3">
      <c r="A690">
        <v>689</v>
      </c>
      <c r="B690" s="1">
        <v>45902</v>
      </c>
      <c r="C690" s="2">
        <v>0.57638888888888884</v>
      </c>
      <c r="D690" t="s">
        <v>22</v>
      </c>
      <c r="E690" t="s">
        <v>23</v>
      </c>
      <c r="F690">
        <v>1000</v>
      </c>
      <c r="G690" t="s">
        <v>156</v>
      </c>
      <c r="H690" t="s">
        <v>182</v>
      </c>
    </row>
    <row r="691" spans="1:8" x14ac:dyDescent="0.3">
      <c r="A691">
        <v>690</v>
      </c>
      <c r="B691" s="1">
        <v>45902</v>
      </c>
      <c r="C691" s="2">
        <v>0.57986111111111116</v>
      </c>
      <c r="D691" t="s">
        <v>22</v>
      </c>
      <c r="E691" t="s">
        <v>23</v>
      </c>
      <c r="F691">
        <v>650</v>
      </c>
      <c r="G691" t="s">
        <v>12</v>
      </c>
      <c r="H691" t="s">
        <v>182</v>
      </c>
    </row>
    <row r="692" spans="1:8" x14ac:dyDescent="0.3">
      <c r="A692">
        <v>691</v>
      </c>
      <c r="B692" s="1">
        <v>45902</v>
      </c>
      <c r="C692" s="2">
        <v>0.8041666666666667</v>
      </c>
      <c r="D692" t="s">
        <v>8</v>
      </c>
      <c r="E692" t="s">
        <v>9</v>
      </c>
      <c r="F692">
        <v>20</v>
      </c>
      <c r="G692" t="s">
        <v>166</v>
      </c>
      <c r="H692" t="s">
        <v>182</v>
      </c>
    </row>
    <row r="693" spans="1:8" x14ac:dyDescent="0.3">
      <c r="A693">
        <v>692</v>
      </c>
      <c r="B693" s="1">
        <v>45903</v>
      </c>
      <c r="C693" s="2">
        <v>0.48402777777777778</v>
      </c>
      <c r="D693" t="s">
        <v>8</v>
      </c>
      <c r="E693" t="s">
        <v>9</v>
      </c>
      <c r="F693">
        <v>8</v>
      </c>
      <c r="G693" t="s">
        <v>24</v>
      </c>
      <c r="H693" t="s">
        <v>182</v>
      </c>
    </row>
    <row r="694" spans="1:8" x14ac:dyDescent="0.3">
      <c r="A694">
        <v>693</v>
      </c>
      <c r="B694" s="1">
        <v>45903</v>
      </c>
      <c r="C694" s="2">
        <v>0.7993055555555556</v>
      </c>
      <c r="D694" t="s">
        <v>8</v>
      </c>
      <c r="E694" t="s">
        <v>9</v>
      </c>
      <c r="F694">
        <v>57</v>
      </c>
      <c r="G694" t="s">
        <v>183</v>
      </c>
      <c r="H694" t="s">
        <v>182</v>
      </c>
    </row>
    <row r="695" spans="1:8" x14ac:dyDescent="0.3">
      <c r="A695">
        <v>694</v>
      </c>
      <c r="B695" s="1">
        <v>45904</v>
      </c>
      <c r="C695" s="2">
        <v>0.70763888888888893</v>
      </c>
      <c r="D695" t="s">
        <v>16</v>
      </c>
      <c r="E695" t="s">
        <v>9</v>
      </c>
      <c r="F695">
        <v>103</v>
      </c>
      <c r="G695" t="s">
        <v>17</v>
      </c>
      <c r="H695" t="s">
        <v>182</v>
      </c>
    </row>
    <row r="696" spans="1:8" x14ac:dyDescent="0.3">
      <c r="A696">
        <v>695</v>
      </c>
      <c r="B696" s="1">
        <v>45904</v>
      </c>
      <c r="C696" s="2">
        <v>0.71805555555555556</v>
      </c>
      <c r="D696" t="s">
        <v>8</v>
      </c>
      <c r="E696" t="s">
        <v>9</v>
      </c>
      <c r="F696">
        <v>50</v>
      </c>
      <c r="G696" t="s">
        <v>68</v>
      </c>
      <c r="H696" t="s">
        <v>182</v>
      </c>
    </row>
    <row r="697" spans="1:8" x14ac:dyDescent="0.3">
      <c r="A697">
        <v>696</v>
      </c>
      <c r="B697" s="1">
        <v>45905</v>
      </c>
      <c r="C697" s="2">
        <v>0.6333333333333333</v>
      </c>
      <c r="D697" t="s">
        <v>22</v>
      </c>
      <c r="E697" t="s">
        <v>23</v>
      </c>
      <c r="F697">
        <v>70</v>
      </c>
      <c r="G697" t="s">
        <v>74</v>
      </c>
      <c r="H697" t="s">
        <v>182</v>
      </c>
    </row>
    <row r="698" spans="1:8" x14ac:dyDescent="0.3">
      <c r="A698">
        <v>697</v>
      </c>
      <c r="B698" s="1">
        <v>45905</v>
      </c>
      <c r="C698" s="2">
        <v>0.70833333333333337</v>
      </c>
      <c r="D698" t="s">
        <v>8</v>
      </c>
      <c r="E698" t="s">
        <v>9</v>
      </c>
      <c r="F698">
        <v>3</v>
      </c>
      <c r="G698" t="s">
        <v>183</v>
      </c>
      <c r="H698" t="s">
        <v>182</v>
      </c>
    </row>
    <row r="699" spans="1:8" x14ac:dyDescent="0.3">
      <c r="A699">
        <v>698</v>
      </c>
      <c r="B699" s="1">
        <v>45905</v>
      </c>
      <c r="C699" s="2">
        <v>0.7104166666666667</v>
      </c>
      <c r="D699" t="s">
        <v>8</v>
      </c>
      <c r="E699" t="s">
        <v>9</v>
      </c>
      <c r="F699">
        <v>20</v>
      </c>
      <c r="G699" t="s">
        <v>183</v>
      </c>
      <c r="H699" t="s">
        <v>182</v>
      </c>
    </row>
    <row r="700" spans="1:8" x14ac:dyDescent="0.3">
      <c r="A700">
        <v>699</v>
      </c>
      <c r="B700" s="1">
        <v>45905</v>
      </c>
      <c r="C700" s="2">
        <v>0.7895833333333333</v>
      </c>
      <c r="D700" t="s">
        <v>8</v>
      </c>
      <c r="E700" t="s">
        <v>9</v>
      </c>
      <c r="F700">
        <v>200</v>
      </c>
      <c r="G700" t="s">
        <v>59</v>
      </c>
      <c r="H700" t="s">
        <v>182</v>
      </c>
    </row>
    <row r="701" spans="1:8" x14ac:dyDescent="0.3">
      <c r="A701">
        <v>700</v>
      </c>
      <c r="B701" s="1">
        <v>45906</v>
      </c>
      <c r="C701" s="2">
        <v>0.55138888888888893</v>
      </c>
      <c r="D701" t="s">
        <v>22</v>
      </c>
      <c r="E701" t="s">
        <v>23</v>
      </c>
      <c r="F701">
        <v>100</v>
      </c>
      <c r="G701" t="s">
        <v>156</v>
      </c>
      <c r="H701" t="s">
        <v>182</v>
      </c>
    </row>
    <row r="702" spans="1:8" x14ac:dyDescent="0.3">
      <c r="A702">
        <v>701</v>
      </c>
      <c r="B702" s="1">
        <v>45906</v>
      </c>
      <c r="C702" s="2">
        <v>0.67500000000000004</v>
      </c>
      <c r="D702" t="s">
        <v>22</v>
      </c>
      <c r="E702" t="s">
        <v>23</v>
      </c>
      <c r="F702">
        <v>3000</v>
      </c>
      <c r="G702" t="s">
        <v>68</v>
      </c>
      <c r="H702" t="s">
        <v>182</v>
      </c>
    </row>
    <row r="703" spans="1:8" x14ac:dyDescent="0.3">
      <c r="A703">
        <v>702</v>
      </c>
      <c r="B703" s="1">
        <v>45906</v>
      </c>
      <c r="C703" s="2">
        <v>0.67569444444444449</v>
      </c>
      <c r="D703" t="s">
        <v>8</v>
      </c>
      <c r="E703" t="s">
        <v>9</v>
      </c>
      <c r="F703">
        <v>2500</v>
      </c>
      <c r="G703" t="s">
        <v>13</v>
      </c>
      <c r="H703" t="s">
        <v>182</v>
      </c>
    </row>
    <row r="704" spans="1:8" x14ac:dyDescent="0.3">
      <c r="A704">
        <v>703</v>
      </c>
      <c r="B704" s="1">
        <v>45906</v>
      </c>
      <c r="C704" s="2">
        <v>0.78472222222222221</v>
      </c>
      <c r="D704" t="s">
        <v>8</v>
      </c>
      <c r="E704" t="s">
        <v>9</v>
      </c>
      <c r="F704">
        <v>1000</v>
      </c>
      <c r="G704" t="s">
        <v>109</v>
      </c>
      <c r="H704" t="s">
        <v>182</v>
      </c>
    </row>
    <row r="705" spans="1:8" x14ac:dyDescent="0.3">
      <c r="A705">
        <v>704</v>
      </c>
      <c r="B705" s="1">
        <v>45907</v>
      </c>
      <c r="C705" s="2">
        <v>8.3333333333333332E-3</v>
      </c>
      <c r="D705" t="s">
        <v>22</v>
      </c>
      <c r="E705" t="s">
        <v>23</v>
      </c>
      <c r="F705">
        <v>81</v>
      </c>
      <c r="G705" t="s">
        <v>12</v>
      </c>
      <c r="H705" t="s">
        <v>182</v>
      </c>
    </row>
    <row r="706" spans="1:8" x14ac:dyDescent="0.3">
      <c r="A706">
        <v>705</v>
      </c>
      <c r="B706" s="1">
        <v>45907</v>
      </c>
      <c r="C706" s="2">
        <v>0.50555555555555554</v>
      </c>
      <c r="D706" t="s">
        <v>22</v>
      </c>
      <c r="E706" t="s">
        <v>23</v>
      </c>
      <c r="F706">
        <v>150</v>
      </c>
      <c r="G706" t="s">
        <v>184</v>
      </c>
      <c r="H706" t="s">
        <v>182</v>
      </c>
    </row>
    <row r="707" spans="1:8" x14ac:dyDescent="0.3">
      <c r="A707">
        <v>706</v>
      </c>
      <c r="B707" s="1">
        <v>45907</v>
      </c>
      <c r="C707" s="2">
        <v>0.52708333333333335</v>
      </c>
      <c r="D707" t="s">
        <v>8</v>
      </c>
      <c r="E707" t="s">
        <v>9</v>
      </c>
      <c r="F707">
        <v>150</v>
      </c>
      <c r="G707" t="s">
        <v>21</v>
      </c>
      <c r="H707" t="s">
        <v>182</v>
      </c>
    </row>
    <row r="708" spans="1:8" x14ac:dyDescent="0.3">
      <c r="A708">
        <v>707</v>
      </c>
      <c r="B708" s="1">
        <v>45907</v>
      </c>
      <c r="C708" s="2">
        <v>0.63888888888888884</v>
      </c>
      <c r="D708" t="s">
        <v>8</v>
      </c>
      <c r="E708" t="s">
        <v>9</v>
      </c>
      <c r="F708">
        <v>1000</v>
      </c>
      <c r="G708" t="s">
        <v>185</v>
      </c>
      <c r="H708" t="s">
        <v>182</v>
      </c>
    </row>
    <row r="709" spans="1:8" x14ac:dyDescent="0.3">
      <c r="A709">
        <v>708</v>
      </c>
      <c r="B709" s="1">
        <v>45907</v>
      </c>
      <c r="C709" s="2">
        <v>0.77777777777777779</v>
      </c>
      <c r="D709" t="s">
        <v>8</v>
      </c>
      <c r="E709" t="s">
        <v>9</v>
      </c>
      <c r="F709">
        <v>40</v>
      </c>
      <c r="G709" t="s">
        <v>33</v>
      </c>
      <c r="H709" t="s">
        <v>182</v>
      </c>
    </row>
    <row r="710" spans="1:8" x14ac:dyDescent="0.3">
      <c r="A710">
        <v>709</v>
      </c>
      <c r="B710" s="1">
        <v>45907</v>
      </c>
      <c r="C710" s="2">
        <v>0.77777777777777779</v>
      </c>
      <c r="D710" t="s">
        <v>8</v>
      </c>
      <c r="E710" t="s">
        <v>9</v>
      </c>
      <c r="F710">
        <v>2</v>
      </c>
      <c r="G710" t="s">
        <v>33</v>
      </c>
      <c r="H710" t="s">
        <v>182</v>
      </c>
    </row>
    <row r="711" spans="1:8" x14ac:dyDescent="0.3">
      <c r="A711">
        <v>710</v>
      </c>
      <c r="B711" s="1">
        <v>45908</v>
      </c>
      <c r="C711" s="2">
        <v>0.68125000000000002</v>
      </c>
      <c r="D711" t="s">
        <v>8</v>
      </c>
      <c r="E711" t="s">
        <v>9</v>
      </c>
      <c r="F711">
        <v>54</v>
      </c>
      <c r="G711" t="s">
        <v>166</v>
      </c>
      <c r="H711" t="s">
        <v>182</v>
      </c>
    </row>
    <row r="712" spans="1:8" x14ac:dyDescent="0.3">
      <c r="A712">
        <v>711</v>
      </c>
      <c r="B712" s="1">
        <v>45908</v>
      </c>
      <c r="C712" s="2">
        <v>0.6958333333333333</v>
      </c>
      <c r="D712" t="s">
        <v>22</v>
      </c>
      <c r="E712" t="s">
        <v>23</v>
      </c>
      <c r="F712">
        <v>50</v>
      </c>
      <c r="G712" t="s">
        <v>186</v>
      </c>
      <c r="H712" t="s">
        <v>182</v>
      </c>
    </row>
    <row r="713" spans="1:8" x14ac:dyDescent="0.3">
      <c r="A713">
        <v>712</v>
      </c>
      <c r="B713" s="1">
        <v>45908</v>
      </c>
      <c r="C713" s="2">
        <v>0.78263888888888888</v>
      </c>
      <c r="D713" t="s">
        <v>22</v>
      </c>
      <c r="E713" t="s">
        <v>23</v>
      </c>
      <c r="F713">
        <v>10</v>
      </c>
      <c r="G713" t="s">
        <v>12</v>
      </c>
      <c r="H713" t="s">
        <v>182</v>
      </c>
    </row>
    <row r="714" spans="1:8" x14ac:dyDescent="0.3">
      <c r="A714">
        <v>713</v>
      </c>
      <c r="B714" s="1">
        <v>45910</v>
      </c>
      <c r="C714" s="2">
        <v>0.79027777777777775</v>
      </c>
      <c r="D714" t="s">
        <v>22</v>
      </c>
      <c r="E714" t="s">
        <v>23</v>
      </c>
      <c r="F714">
        <v>1000</v>
      </c>
      <c r="G714" t="s">
        <v>109</v>
      </c>
      <c r="H714" t="s">
        <v>182</v>
      </c>
    </row>
    <row r="715" spans="1:8" x14ac:dyDescent="0.3">
      <c r="A715">
        <v>714</v>
      </c>
      <c r="B715" s="1">
        <v>45910</v>
      </c>
      <c r="C715" s="2">
        <v>0.82013888888888886</v>
      </c>
      <c r="D715" t="s">
        <v>16</v>
      </c>
      <c r="E715" t="s">
        <v>9</v>
      </c>
      <c r="F715">
        <v>1000</v>
      </c>
      <c r="G715" t="s">
        <v>17</v>
      </c>
      <c r="H715" t="s">
        <v>182</v>
      </c>
    </row>
    <row r="716" spans="1:8" x14ac:dyDescent="0.3">
      <c r="A716">
        <v>715</v>
      </c>
      <c r="B716" s="1">
        <v>45911</v>
      </c>
      <c r="C716" s="2">
        <v>2.2222222222222223E-2</v>
      </c>
      <c r="D716" t="s">
        <v>8</v>
      </c>
      <c r="E716" t="s">
        <v>9</v>
      </c>
      <c r="F716">
        <v>300</v>
      </c>
      <c r="G716" t="s">
        <v>20</v>
      </c>
      <c r="H716" t="s">
        <v>182</v>
      </c>
    </row>
    <row r="717" spans="1:8" x14ac:dyDescent="0.3">
      <c r="A717">
        <v>716</v>
      </c>
      <c r="B717" s="1">
        <v>45911</v>
      </c>
      <c r="C717" s="2">
        <v>0.42708333333333331</v>
      </c>
      <c r="D717" t="s">
        <v>22</v>
      </c>
      <c r="E717" t="s">
        <v>23</v>
      </c>
      <c r="F717">
        <v>700</v>
      </c>
      <c r="G717" t="s">
        <v>10</v>
      </c>
      <c r="H717" t="s">
        <v>182</v>
      </c>
    </row>
    <row r="718" spans="1:8" x14ac:dyDescent="0.3">
      <c r="A718">
        <v>717</v>
      </c>
      <c r="B718" s="1">
        <v>45911</v>
      </c>
      <c r="C718" s="2">
        <v>0.46458333333333335</v>
      </c>
      <c r="D718" t="s">
        <v>8</v>
      </c>
      <c r="E718" t="s">
        <v>9</v>
      </c>
      <c r="F718">
        <v>3</v>
      </c>
      <c r="G718" t="s">
        <v>24</v>
      </c>
      <c r="H718" t="s">
        <v>182</v>
      </c>
    </row>
    <row r="719" spans="1:8" x14ac:dyDescent="0.3">
      <c r="A719">
        <v>718</v>
      </c>
      <c r="B719" s="1">
        <v>45911</v>
      </c>
      <c r="C719" s="2">
        <v>0.46805555555555556</v>
      </c>
      <c r="D719" t="s">
        <v>8</v>
      </c>
      <c r="E719" t="s">
        <v>9</v>
      </c>
      <c r="F719">
        <v>20</v>
      </c>
      <c r="G719" t="s">
        <v>24</v>
      </c>
      <c r="H719" t="s">
        <v>182</v>
      </c>
    </row>
    <row r="720" spans="1:8" x14ac:dyDescent="0.3">
      <c r="A720">
        <v>719</v>
      </c>
      <c r="B720" s="1">
        <v>45912</v>
      </c>
      <c r="C720" s="2">
        <v>0.4548611111111111</v>
      </c>
      <c r="D720" t="s">
        <v>22</v>
      </c>
      <c r="E720" t="s">
        <v>23</v>
      </c>
      <c r="F720">
        <v>2000</v>
      </c>
      <c r="G720" t="s">
        <v>12</v>
      </c>
      <c r="H720" t="s">
        <v>182</v>
      </c>
    </row>
    <row r="721" spans="1:8" x14ac:dyDescent="0.3">
      <c r="A721">
        <v>720</v>
      </c>
      <c r="B721" s="1">
        <v>45912</v>
      </c>
      <c r="C721" s="2">
        <v>0.74444444444444446</v>
      </c>
      <c r="D721" t="s">
        <v>22</v>
      </c>
      <c r="E721" t="s">
        <v>23</v>
      </c>
      <c r="F721">
        <v>300</v>
      </c>
      <c r="G721" t="s">
        <v>68</v>
      </c>
      <c r="H721" t="s">
        <v>182</v>
      </c>
    </row>
    <row r="722" spans="1:8" x14ac:dyDescent="0.3">
      <c r="A722">
        <v>721</v>
      </c>
      <c r="B722" s="1">
        <v>45912</v>
      </c>
      <c r="C722" s="2">
        <v>0.93611111111111112</v>
      </c>
      <c r="D722" t="s">
        <v>8</v>
      </c>
      <c r="E722" t="s">
        <v>9</v>
      </c>
      <c r="F722">
        <v>500</v>
      </c>
      <c r="G722" t="s">
        <v>185</v>
      </c>
      <c r="H722" t="s">
        <v>182</v>
      </c>
    </row>
    <row r="723" spans="1:8" x14ac:dyDescent="0.3">
      <c r="A723">
        <v>722</v>
      </c>
      <c r="B723" s="1">
        <v>45913</v>
      </c>
      <c r="C723" s="2">
        <v>0.62013888888888891</v>
      </c>
      <c r="D723" t="s">
        <v>8</v>
      </c>
      <c r="E723" t="s">
        <v>9</v>
      </c>
      <c r="F723">
        <v>50</v>
      </c>
      <c r="G723" t="s">
        <v>68</v>
      </c>
      <c r="H723" t="s">
        <v>182</v>
      </c>
    </row>
    <row r="724" spans="1:8" x14ac:dyDescent="0.3">
      <c r="A724">
        <v>723</v>
      </c>
      <c r="B724" s="1">
        <v>45913</v>
      </c>
      <c r="C724" s="2">
        <v>0.66111111111111109</v>
      </c>
      <c r="D724" t="s">
        <v>22</v>
      </c>
      <c r="E724" t="s">
        <v>23</v>
      </c>
      <c r="F724">
        <v>245</v>
      </c>
      <c r="G724" t="s">
        <v>12</v>
      </c>
      <c r="H724" t="s">
        <v>182</v>
      </c>
    </row>
    <row r="725" spans="1:8" x14ac:dyDescent="0.3">
      <c r="A725">
        <v>724</v>
      </c>
      <c r="B725" s="1">
        <v>45913</v>
      </c>
      <c r="C725" s="2">
        <v>0.72361111111111109</v>
      </c>
      <c r="D725" t="s">
        <v>8</v>
      </c>
      <c r="E725" t="s">
        <v>9</v>
      </c>
      <c r="F725">
        <v>150</v>
      </c>
      <c r="G725" t="s">
        <v>68</v>
      </c>
      <c r="H725" t="s">
        <v>182</v>
      </c>
    </row>
    <row r="726" spans="1:8" x14ac:dyDescent="0.3">
      <c r="A726">
        <v>725</v>
      </c>
      <c r="B726" s="1">
        <v>45913</v>
      </c>
      <c r="C726" s="2">
        <v>0.95972222222222225</v>
      </c>
      <c r="D726" t="s">
        <v>8</v>
      </c>
      <c r="E726" t="s">
        <v>9</v>
      </c>
      <c r="F726">
        <v>200</v>
      </c>
      <c r="G726" t="s">
        <v>68</v>
      </c>
      <c r="H726" t="s">
        <v>182</v>
      </c>
    </row>
    <row r="727" spans="1:8" x14ac:dyDescent="0.3">
      <c r="A727">
        <v>726</v>
      </c>
      <c r="B727" s="1">
        <v>45914</v>
      </c>
      <c r="C727" s="2">
        <v>0.78402777777777777</v>
      </c>
      <c r="D727" t="s">
        <v>8</v>
      </c>
      <c r="E727" t="s">
        <v>9</v>
      </c>
      <c r="F727">
        <v>700</v>
      </c>
      <c r="G727" t="s">
        <v>30</v>
      </c>
      <c r="H727" t="s">
        <v>182</v>
      </c>
    </row>
    <row r="728" spans="1:8" x14ac:dyDescent="0.3">
      <c r="A728">
        <v>727</v>
      </c>
      <c r="B728" s="1">
        <v>45915</v>
      </c>
      <c r="C728" s="2">
        <v>0.42708333333333331</v>
      </c>
      <c r="D728" t="s">
        <v>8</v>
      </c>
      <c r="E728" t="s">
        <v>9</v>
      </c>
      <c r="F728">
        <v>1000</v>
      </c>
      <c r="G728" t="s">
        <v>100</v>
      </c>
      <c r="H728" t="s">
        <v>182</v>
      </c>
    </row>
    <row r="729" spans="1:8" x14ac:dyDescent="0.3">
      <c r="A729">
        <v>728</v>
      </c>
      <c r="B729" s="1">
        <v>45915</v>
      </c>
      <c r="C729" s="2">
        <v>0.46944444444444444</v>
      </c>
      <c r="D729" t="s">
        <v>8</v>
      </c>
      <c r="E729" t="s">
        <v>9</v>
      </c>
      <c r="F729">
        <v>200</v>
      </c>
      <c r="G729" t="s">
        <v>20</v>
      </c>
      <c r="H729" t="s">
        <v>182</v>
      </c>
    </row>
    <row r="730" spans="1:8" x14ac:dyDescent="0.3">
      <c r="A730">
        <v>729</v>
      </c>
      <c r="B730" s="1">
        <v>45915</v>
      </c>
      <c r="C730" s="2">
        <v>0.76458333333333328</v>
      </c>
      <c r="D730" t="s">
        <v>8</v>
      </c>
      <c r="E730" t="s">
        <v>9</v>
      </c>
      <c r="F730">
        <v>20</v>
      </c>
      <c r="G730" t="s">
        <v>187</v>
      </c>
      <c r="H730" t="s">
        <v>182</v>
      </c>
    </row>
    <row r="731" spans="1:8" x14ac:dyDescent="0.3">
      <c r="A731">
        <v>730</v>
      </c>
      <c r="B731" s="1">
        <v>45917</v>
      </c>
      <c r="C731" s="2">
        <v>0.50486111111111109</v>
      </c>
      <c r="D731" t="s">
        <v>22</v>
      </c>
      <c r="E731" t="s">
        <v>23</v>
      </c>
      <c r="F731">
        <v>114</v>
      </c>
      <c r="G731" t="s">
        <v>74</v>
      </c>
      <c r="H731" t="s">
        <v>182</v>
      </c>
    </row>
    <row r="732" spans="1:8" x14ac:dyDescent="0.3">
      <c r="A732">
        <v>731</v>
      </c>
      <c r="B732" s="1">
        <v>45917</v>
      </c>
      <c r="C732" s="2">
        <v>0.9145833333333333</v>
      </c>
      <c r="D732" t="s">
        <v>22</v>
      </c>
      <c r="E732" t="s">
        <v>23</v>
      </c>
      <c r="F732">
        <v>2500</v>
      </c>
      <c r="G732" t="s">
        <v>188</v>
      </c>
      <c r="H732" t="s">
        <v>182</v>
      </c>
    </row>
    <row r="733" spans="1:8" x14ac:dyDescent="0.3">
      <c r="A733">
        <v>732</v>
      </c>
      <c r="B733" s="1">
        <v>45918</v>
      </c>
      <c r="C733" s="2">
        <v>0.87708333333333333</v>
      </c>
      <c r="D733" t="s">
        <v>22</v>
      </c>
      <c r="E733" t="s">
        <v>23</v>
      </c>
      <c r="F733">
        <v>1000</v>
      </c>
      <c r="G733" t="s">
        <v>33</v>
      </c>
      <c r="H733" t="s">
        <v>182</v>
      </c>
    </row>
    <row r="734" spans="1:8" x14ac:dyDescent="0.3">
      <c r="A734">
        <v>733</v>
      </c>
      <c r="B734" s="1">
        <v>45919</v>
      </c>
      <c r="C734" s="2">
        <v>0.52569444444444446</v>
      </c>
      <c r="D734" t="s">
        <v>22</v>
      </c>
      <c r="E734" t="s">
        <v>23</v>
      </c>
      <c r="F734">
        <v>14000</v>
      </c>
      <c r="G734" t="s">
        <v>189</v>
      </c>
      <c r="H734" t="s">
        <v>182</v>
      </c>
    </row>
    <row r="735" spans="1:8" x14ac:dyDescent="0.3">
      <c r="A735">
        <v>734</v>
      </c>
      <c r="B735" s="1">
        <v>45919</v>
      </c>
      <c r="C735" s="2">
        <v>0.82499999999999996</v>
      </c>
      <c r="D735" t="s">
        <v>22</v>
      </c>
      <c r="E735" t="s">
        <v>23</v>
      </c>
      <c r="F735">
        <v>500</v>
      </c>
      <c r="G735" t="s">
        <v>68</v>
      </c>
      <c r="H735" t="s">
        <v>182</v>
      </c>
    </row>
    <row r="736" spans="1:8" x14ac:dyDescent="0.3">
      <c r="A736">
        <v>735</v>
      </c>
      <c r="B736" s="1">
        <v>45919</v>
      </c>
      <c r="C736" s="2">
        <v>0.86041666666666672</v>
      </c>
      <c r="D736" t="s">
        <v>16</v>
      </c>
      <c r="E736" t="s">
        <v>9</v>
      </c>
      <c r="F736">
        <v>500</v>
      </c>
      <c r="G736" t="s">
        <v>17</v>
      </c>
      <c r="H736" t="s">
        <v>182</v>
      </c>
    </row>
    <row r="737" spans="1:8" x14ac:dyDescent="0.3">
      <c r="A737">
        <v>736</v>
      </c>
      <c r="B737" s="1">
        <v>45920</v>
      </c>
      <c r="C737" s="2">
        <v>0.41388888888888886</v>
      </c>
      <c r="D737" t="s">
        <v>8</v>
      </c>
      <c r="E737" t="s">
        <v>9</v>
      </c>
      <c r="F737">
        <v>1000</v>
      </c>
      <c r="G737" t="s">
        <v>190</v>
      </c>
      <c r="H737" t="s">
        <v>182</v>
      </c>
    </row>
    <row r="738" spans="1:8" x14ac:dyDescent="0.3">
      <c r="A738">
        <v>737</v>
      </c>
      <c r="B738" s="1">
        <v>45921</v>
      </c>
      <c r="C738" s="2">
        <v>0.43333333333333335</v>
      </c>
      <c r="D738" t="s">
        <v>22</v>
      </c>
      <c r="E738" t="s">
        <v>23</v>
      </c>
      <c r="F738">
        <v>4000</v>
      </c>
      <c r="G738" t="s">
        <v>12</v>
      </c>
      <c r="H738" t="s">
        <v>182</v>
      </c>
    </row>
    <row r="739" spans="1:8" x14ac:dyDescent="0.3">
      <c r="A739">
        <v>738</v>
      </c>
      <c r="B739" s="1">
        <v>45921</v>
      </c>
      <c r="C739" s="2">
        <v>0.4861111111111111</v>
      </c>
      <c r="D739" t="s">
        <v>8</v>
      </c>
      <c r="E739" t="s">
        <v>9</v>
      </c>
      <c r="F739">
        <v>4000</v>
      </c>
      <c r="G739" t="s">
        <v>146</v>
      </c>
      <c r="H739" t="s">
        <v>182</v>
      </c>
    </row>
    <row r="740" spans="1:8" x14ac:dyDescent="0.3">
      <c r="A740">
        <v>739</v>
      </c>
      <c r="B740" s="1">
        <v>45921</v>
      </c>
      <c r="C740" s="2">
        <v>0.89444444444444449</v>
      </c>
      <c r="D740" t="s">
        <v>8</v>
      </c>
      <c r="E740" t="s">
        <v>9</v>
      </c>
      <c r="F740">
        <v>1000</v>
      </c>
      <c r="G740" t="s">
        <v>191</v>
      </c>
      <c r="H740" t="s">
        <v>182</v>
      </c>
    </row>
    <row r="741" spans="1:8" x14ac:dyDescent="0.3">
      <c r="A741">
        <v>740</v>
      </c>
      <c r="B741" s="1">
        <v>45921</v>
      </c>
      <c r="C741" s="2">
        <v>0.90763888888888888</v>
      </c>
      <c r="D741" t="s">
        <v>22</v>
      </c>
      <c r="E741" t="s">
        <v>23</v>
      </c>
      <c r="F741">
        <v>1000</v>
      </c>
      <c r="G741" t="s">
        <v>156</v>
      </c>
      <c r="H741" t="s">
        <v>182</v>
      </c>
    </row>
    <row r="742" spans="1:8" x14ac:dyDescent="0.3">
      <c r="A742">
        <v>741</v>
      </c>
      <c r="B742" s="1">
        <v>45921</v>
      </c>
      <c r="C742" s="2">
        <v>0.90833333333333333</v>
      </c>
      <c r="D742" t="s">
        <v>16</v>
      </c>
      <c r="E742" t="s">
        <v>9</v>
      </c>
      <c r="F742">
        <v>1000</v>
      </c>
      <c r="G742" t="s">
        <v>17</v>
      </c>
      <c r="H742" t="s">
        <v>182</v>
      </c>
    </row>
    <row r="743" spans="1:8" x14ac:dyDescent="0.3">
      <c r="A743">
        <v>742</v>
      </c>
      <c r="B743" s="1">
        <v>45922</v>
      </c>
      <c r="C743" s="2">
        <v>0.3972222222222222</v>
      </c>
      <c r="D743" t="s">
        <v>22</v>
      </c>
      <c r="E743" t="s">
        <v>23</v>
      </c>
      <c r="F743">
        <v>2000</v>
      </c>
      <c r="G743" t="s">
        <v>156</v>
      </c>
      <c r="H743" t="s">
        <v>182</v>
      </c>
    </row>
    <row r="744" spans="1:8" x14ac:dyDescent="0.3">
      <c r="A744">
        <v>743</v>
      </c>
      <c r="B744" s="1">
        <v>45922</v>
      </c>
      <c r="C744" s="2">
        <v>0.61458333333333337</v>
      </c>
      <c r="D744" t="s">
        <v>8</v>
      </c>
      <c r="E744" t="s">
        <v>9</v>
      </c>
      <c r="F744">
        <v>16000</v>
      </c>
      <c r="G744" t="s">
        <v>192</v>
      </c>
      <c r="H744" t="s">
        <v>182</v>
      </c>
    </row>
    <row r="745" spans="1:8" x14ac:dyDescent="0.3">
      <c r="A745">
        <v>744</v>
      </c>
      <c r="B745" s="1">
        <v>45922</v>
      </c>
      <c r="C745" s="2">
        <v>0.68958333333333333</v>
      </c>
      <c r="D745" t="s">
        <v>22</v>
      </c>
      <c r="E745" t="s">
        <v>23</v>
      </c>
      <c r="F745">
        <v>350</v>
      </c>
      <c r="G745" t="s">
        <v>68</v>
      </c>
      <c r="H745" t="s">
        <v>182</v>
      </c>
    </row>
    <row r="746" spans="1:8" x14ac:dyDescent="0.3">
      <c r="A746">
        <v>745</v>
      </c>
      <c r="B746" s="1">
        <v>45922</v>
      </c>
      <c r="C746" s="2">
        <v>0.95208333333333328</v>
      </c>
      <c r="D746" t="s">
        <v>22</v>
      </c>
      <c r="E746" t="s">
        <v>23</v>
      </c>
      <c r="F746">
        <v>2000</v>
      </c>
      <c r="G746" t="s">
        <v>26</v>
      </c>
      <c r="H746" t="s">
        <v>182</v>
      </c>
    </row>
    <row r="747" spans="1:8" x14ac:dyDescent="0.3">
      <c r="A747">
        <v>746</v>
      </c>
      <c r="B747" s="1">
        <v>45923</v>
      </c>
      <c r="C747" s="2">
        <v>0.4375</v>
      </c>
      <c r="D747" t="s">
        <v>8</v>
      </c>
      <c r="E747" t="s">
        <v>9</v>
      </c>
      <c r="F747">
        <v>3000</v>
      </c>
      <c r="G747" t="s">
        <v>191</v>
      </c>
      <c r="H747" t="s">
        <v>182</v>
      </c>
    </row>
    <row r="748" spans="1:8" x14ac:dyDescent="0.3">
      <c r="A748">
        <v>747</v>
      </c>
      <c r="B748" s="1">
        <v>45923</v>
      </c>
      <c r="C748" s="2">
        <v>0.4375</v>
      </c>
      <c r="D748" t="s">
        <v>8</v>
      </c>
      <c r="E748" t="s">
        <v>9</v>
      </c>
      <c r="F748">
        <v>1000</v>
      </c>
      <c r="G748" t="s">
        <v>30</v>
      </c>
      <c r="H748" t="s">
        <v>182</v>
      </c>
    </row>
    <row r="749" spans="1:8" x14ac:dyDescent="0.3">
      <c r="A749">
        <v>748</v>
      </c>
      <c r="B749" s="1">
        <v>45923</v>
      </c>
      <c r="C749" s="2">
        <v>0.43819444444444444</v>
      </c>
      <c r="D749" t="s">
        <v>22</v>
      </c>
      <c r="E749" t="s">
        <v>23</v>
      </c>
      <c r="F749">
        <v>1000</v>
      </c>
      <c r="G749" t="s">
        <v>30</v>
      </c>
      <c r="H749" t="s">
        <v>182</v>
      </c>
    </row>
    <row r="750" spans="1:8" x14ac:dyDescent="0.3">
      <c r="A750">
        <v>749</v>
      </c>
      <c r="B750" s="1">
        <v>45923</v>
      </c>
      <c r="C750" s="2">
        <v>0.43888888888888888</v>
      </c>
      <c r="D750" t="s">
        <v>22</v>
      </c>
      <c r="E750" t="s">
        <v>23</v>
      </c>
      <c r="F750">
        <v>4000</v>
      </c>
      <c r="G750" t="s">
        <v>156</v>
      </c>
      <c r="H750" t="s">
        <v>182</v>
      </c>
    </row>
    <row r="751" spans="1:8" x14ac:dyDescent="0.3">
      <c r="A751">
        <v>750</v>
      </c>
      <c r="B751" s="1">
        <v>45923</v>
      </c>
      <c r="C751" s="2">
        <v>0.56527777777777777</v>
      </c>
      <c r="D751" t="s">
        <v>22</v>
      </c>
      <c r="E751" t="s">
        <v>23</v>
      </c>
      <c r="F751">
        <v>870</v>
      </c>
      <c r="G751" t="s">
        <v>30</v>
      </c>
      <c r="H751" t="s">
        <v>182</v>
      </c>
    </row>
    <row r="752" spans="1:8" x14ac:dyDescent="0.3">
      <c r="A752">
        <v>751</v>
      </c>
      <c r="B752" s="1">
        <v>45923</v>
      </c>
      <c r="C752" s="2">
        <v>0.70138888888888884</v>
      </c>
      <c r="D752" t="s">
        <v>22</v>
      </c>
      <c r="E752" t="s">
        <v>23</v>
      </c>
      <c r="F752">
        <v>1000</v>
      </c>
      <c r="G752" t="s">
        <v>90</v>
      </c>
      <c r="H752" t="s">
        <v>182</v>
      </c>
    </row>
    <row r="753" spans="1:8" x14ac:dyDescent="0.3">
      <c r="A753">
        <v>752</v>
      </c>
      <c r="B753" s="1">
        <v>45925</v>
      </c>
      <c r="C753" s="2">
        <v>0.3347222222222222</v>
      </c>
      <c r="D753" t="s">
        <v>22</v>
      </c>
      <c r="E753" t="s">
        <v>23</v>
      </c>
      <c r="F753">
        <v>15000</v>
      </c>
      <c r="G753" t="s">
        <v>178</v>
      </c>
      <c r="H753" t="s">
        <v>182</v>
      </c>
    </row>
    <row r="754" spans="1:8" x14ac:dyDescent="0.3">
      <c r="A754">
        <v>753</v>
      </c>
      <c r="B754" s="1">
        <v>45925</v>
      </c>
      <c r="C754" s="2">
        <v>0.36736111111111114</v>
      </c>
      <c r="D754" t="s">
        <v>22</v>
      </c>
      <c r="E754" t="s">
        <v>23</v>
      </c>
      <c r="F754">
        <v>14000</v>
      </c>
      <c r="G754" t="s">
        <v>26</v>
      </c>
      <c r="H754" t="s">
        <v>182</v>
      </c>
    </row>
    <row r="755" spans="1:8" x14ac:dyDescent="0.3">
      <c r="A755">
        <v>754</v>
      </c>
      <c r="B755" s="1">
        <v>45925</v>
      </c>
      <c r="C755" s="2">
        <v>0.36805555555555558</v>
      </c>
      <c r="D755" t="s">
        <v>18</v>
      </c>
      <c r="E755" t="s">
        <v>9</v>
      </c>
      <c r="F755">
        <v>14000</v>
      </c>
      <c r="G755" t="s">
        <v>19</v>
      </c>
      <c r="H755" t="s">
        <v>182</v>
      </c>
    </row>
    <row r="756" spans="1:8" x14ac:dyDescent="0.3">
      <c r="A756">
        <v>755</v>
      </c>
      <c r="B756" s="1">
        <v>45925</v>
      </c>
      <c r="C756" s="2">
        <v>0.40555555555555556</v>
      </c>
      <c r="D756" t="s">
        <v>8</v>
      </c>
      <c r="E756" t="s">
        <v>9</v>
      </c>
      <c r="F756">
        <v>1000</v>
      </c>
      <c r="G756" t="s">
        <v>20</v>
      </c>
      <c r="H756" t="s">
        <v>182</v>
      </c>
    </row>
    <row r="757" spans="1:8" x14ac:dyDescent="0.3">
      <c r="A757">
        <v>756</v>
      </c>
      <c r="B757" s="1">
        <v>45925</v>
      </c>
      <c r="C757" s="2">
        <v>0.40555555555555556</v>
      </c>
      <c r="D757" t="s">
        <v>8</v>
      </c>
      <c r="E757" t="s">
        <v>9</v>
      </c>
      <c r="F757">
        <v>2000</v>
      </c>
      <c r="G757" t="s">
        <v>185</v>
      </c>
      <c r="H757" t="s">
        <v>182</v>
      </c>
    </row>
    <row r="758" spans="1:8" x14ac:dyDescent="0.3">
      <c r="A758">
        <v>757</v>
      </c>
      <c r="B758" s="1">
        <v>45925</v>
      </c>
      <c r="C758" s="2">
        <v>0.9458333333333333</v>
      </c>
      <c r="D758" t="s">
        <v>22</v>
      </c>
      <c r="E758" t="s">
        <v>23</v>
      </c>
      <c r="F758">
        <v>1500</v>
      </c>
      <c r="G758" t="s">
        <v>26</v>
      </c>
      <c r="H758" t="s">
        <v>182</v>
      </c>
    </row>
    <row r="759" spans="1:8" x14ac:dyDescent="0.3">
      <c r="A759">
        <v>758</v>
      </c>
      <c r="B759" s="1">
        <v>45926</v>
      </c>
      <c r="C759" s="2">
        <v>0.79861111111111116</v>
      </c>
      <c r="D759" t="s">
        <v>22</v>
      </c>
      <c r="E759" t="s">
        <v>23</v>
      </c>
      <c r="F759">
        <v>1000</v>
      </c>
      <c r="G759" t="s">
        <v>12</v>
      </c>
      <c r="H759" t="s">
        <v>182</v>
      </c>
    </row>
    <row r="760" spans="1:8" x14ac:dyDescent="0.3">
      <c r="A760">
        <v>759</v>
      </c>
      <c r="B760" s="1">
        <v>45926</v>
      </c>
      <c r="C760" s="2">
        <v>0.92291666666666672</v>
      </c>
      <c r="D760" t="s">
        <v>22</v>
      </c>
      <c r="E760" t="s">
        <v>23</v>
      </c>
      <c r="F760">
        <v>500</v>
      </c>
      <c r="G760" t="s">
        <v>59</v>
      </c>
      <c r="H760" t="s">
        <v>182</v>
      </c>
    </row>
    <row r="761" spans="1:8" x14ac:dyDescent="0.3">
      <c r="A761">
        <v>760</v>
      </c>
      <c r="B761" s="1">
        <v>45927</v>
      </c>
      <c r="C761" s="2">
        <v>0.58333333333333337</v>
      </c>
      <c r="D761" t="s">
        <v>8</v>
      </c>
      <c r="E761" t="s">
        <v>9</v>
      </c>
      <c r="F761">
        <v>44</v>
      </c>
      <c r="G761" t="s">
        <v>193</v>
      </c>
      <c r="H761" t="s">
        <v>182</v>
      </c>
    </row>
    <row r="762" spans="1:8" x14ac:dyDescent="0.3">
      <c r="A762">
        <v>761</v>
      </c>
      <c r="B762" s="1">
        <v>45927</v>
      </c>
      <c r="C762" s="2">
        <v>0.59166666666666667</v>
      </c>
      <c r="D762" t="s">
        <v>8</v>
      </c>
      <c r="E762" t="s">
        <v>9</v>
      </c>
      <c r="F762">
        <v>180</v>
      </c>
      <c r="G762" t="s">
        <v>185</v>
      </c>
      <c r="H762" t="s">
        <v>182</v>
      </c>
    </row>
    <row r="763" spans="1:8" x14ac:dyDescent="0.3">
      <c r="A763">
        <v>762</v>
      </c>
      <c r="B763" s="1">
        <v>45927</v>
      </c>
      <c r="C763" s="2">
        <v>0.69236111111111109</v>
      </c>
      <c r="D763" t="s">
        <v>8</v>
      </c>
      <c r="E763" t="s">
        <v>9</v>
      </c>
      <c r="F763">
        <v>40</v>
      </c>
      <c r="G763" t="s">
        <v>194</v>
      </c>
      <c r="H763" t="s">
        <v>182</v>
      </c>
    </row>
    <row r="764" spans="1:8" x14ac:dyDescent="0.3">
      <c r="A764">
        <v>763</v>
      </c>
      <c r="B764" s="1">
        <v>45927</v>
      </c>
      <c r="C764" s="2">
        <v>0.80555555555555558</v>
      </c>
      <c r="D764" t="s">
        <v>8</v>
      </c>
      <c r="E764" t="s">
        <v>9</v>
      </c>
      <c r="F764">
        <v>40</v>
      </c>
      <c r="G764" t="s">
        <v>195</v>
      </c>
      <c r="H764" t="s">
        <v>182</v>
      </c>
    </row>
    <row r="765" spans="1:8" x14ac:dyDescent="0.3">
      <c r="A765">
        <v>764</v>
      </c>
      <c r="B765" s="1">
        <v>45928</v>
      </c>
      <c r="C765" s="2">
        <v>0.47291666666666665</v>
      </c>
      <c r="D765" t="s">
        <v>8</v>
      </c>
      <c r="E765" t="s">
        <v>9</v>
      </c>
      <c r="F765">
        <v>1000</v>
      </c>
      <c r="G765" t="s">
        <v>190</v>
      </c>
      <c r="H765" t="s">
        <v>182</v>
      </c>
    </row>
    <row r="766" spans="1:8" x14ac:dyDescent="0.3">
      <c r="A766">
        <v>765</v>
      </c>
      <c r="B766" s="1">
        <v>45928</v>
      </c>
      <c r="C766" s="2">
        <v>0.58402777777777781</v>
      </c>
      <c r="D766" t="s">
        <v>8</v>
      </c>
      <c r="E766" t="s">
        <v>9</v>
      </c>
      <c r="F766">
        <v>500</v>
      </c>
      <c r="G766" t="s">
        <v>190</v>
      </c>
      <c r="H766" t="s">
        <v>182</v>
      </c>
    </row>
    <row r="767" spans="1:8" x14ac:dyDescent="0.3">
      <c r="A767">
        <v>766</v>
      </c>
      <c r="B767" s="1">
        <v>45928</v>
      </c>
      <c r="C767" s="2">
        <v>0.71458333333333335</v>
      </c>
      <c r="D767" t="s">
        <v>8</v>
      </c>
      <c r="E767" t="s">
        <v>9</v>
      </c>
      <c r="F767">
        <v>500</v>
      </c>
      <c r="G767" t="s">
        <v>33</v>
      </c>
      <c r="H767" t="s">
        <v>182</v>
      </c>
    </row>
    <row r="768" spans="1:8" x14ac:dyDescent="0.3">
      <c r="A768">
        <v>767</v>
      </c>
      <c r="B768" s="1">
        <v>45928</v>
      </c>
      <c r="C768" s="2">
        <v>0.77569444444444446</v>
      </c>
      <c r="D768" t="s">
        <v>8</v>
      </c>
      <c r="E768" t="s">
        <v>9</v>
      </c>
      <c r="F768">
        <v>300</v>
      </c>
      <c r="G768" t="s">
        <v>185</v>
      </c>
      <c r="H768" t="s">
        <v>182</v>
      </c>
    </row>
    <row r="769" spans="1:8" x14ac:dyDescent="0.3">
      <c r="A769">
        <v>768</v>
      </c>
      <c r="B769" s="1">
        <v>45928</v>
      </c>
      <c r="C769" s="2">
        <v>0.82430555555555551</v>
      </c>
      <c r="D769" t="s">
        <v>8</v>
      </c>
      <c r="E769" t="s">
        <v>9</v>
      </c>
      <c r="F769">
        <v>500</v>
      </c>
      <c r="G769" t="s">
        <v>190</v>
      </c>
      <c r="H769" t="s">
        <v>182</v>
      </c>
    </row>
    <row r="770" spans="1:8" x14ac:dyDescent="0.3">
      <c r="A770">
        <v>769</v>
      </c>
      <c r="B770" s="1">
        <v>45928</v>
      </c>
      <c r="C770" s="2">
        <v>0.87430555555555556</v>
      </c>
      <c r="D770" t="s">
        <v>22</v>
      </c>
      <c r="E770" t="s">
        <v>23</v>
      </c>
      <c r="F770">
        <v>300</v>
      </c>
      <c r="G770" t="s">
        <v>185</v>
      </c>
      <c r="H770" t="s">
        <v>182</v>
      </c>
    </row>
    <row r="771" spans="1:8" x14ac:dyDescent="0.3">
      <c r="A771">
        <v>770</v>
      </c>
      <c r="B771" s="1">
        <v>45929</v>
      </c>
      <c r="C771" s="2">
        <v>0.53125</v>
      </c>
      <c r="D771" t="s">
        <v>22</v>
      </c>
      <c r="E771" t="s">
        <v>23</v>
      </c>
      <c r="F771">
        <v>100</v>
      </c>
      <c r="G771" t="s">
        <v>13</v>
      </c>
      <c r="H771" t="s">
        <v>182</v>
      </c>
    </row>
    <row r="772" spans="1:8" x14ac:dyDescent="0.3">
      <c r="A772">
        <v>771</v>
      </c>
      <c r="B772" s="1">
        <v>45929</v>
      </c>
      <c r="C772" s="2">
        <v>0.53263888888888888</v>
      </c>
      <c r="D772" t="s">
        <v>8</v>
      </c>
      <c r="E772" t="s">
        <v>9</v>
      </c>
      <c r="F772">
        <v>48</v>
      </c>
      <c r="G772" t="s">
        <v>24</v>
      </c>
      <c r="H772" t="s">
        <v>182</v>
      </c>
    </row>
    <row r="773" spans="1:8" x14ac:dyDescent="0.3">
      <c r="A773">
        <v>772</v>
      </c>
      <c r="B773" s="1">
        <v>45929</v>
      </c>
      <c r="C773" s="2">
        <v>0.53472222222222221</v>
      </c>
      <c r="D773" t="s">
        <v>8</v>
      </c>
      <c r="E773" t="s">
        <v>9</v>
      </c>
      <c r="F773">
        <v>45</v>
      </c>
      <c r="G773" t="s">
        <v>196</v>
      </c>
      <c r="H773" t="s">
        <v>182</v>
      </c>
    </row>
    <row r="774" spans="1:8" x14ac:dyDescent="0.3">
      <c r="A774">
        <v>773</v>
      </c>
      <c r="B774" s="1">
        <v>45929</v>
      </c>
      <c r="C774" s="2">
        <v>0.74791666666666667</v>
      </c>
      <c r="D774" t="s">
        <v>8</v>
      </c>
      <c r="E774" t="s">
        <v>9</v>
      </c>
      <c r="F774">
        <v>700</v>
      </c>
      <c r="G774" t="s">
        <v>101</v>
      </c>
      <c r="H774" t="s">
        <v>182</v>
      </c>
    </row>
    <row r="775" spans="1:8" x14ac:dyDescent="0.3">
      <c r="A775">
        <v>774</v>
      </c>
      <c r="B775" s="1">
        <v>45929</v>
      </c>
      <c r="C775" s="2">
        <v>0.89027777777777772</v>
      </c>
      <c r="D775" t="s">
        <v>8</v>
      </c>
      <c r="E775" t="s">
        <v>9</v>
      </c>
      <c r="F775">
        <v>10</v>
      </c>
      <c r="G775" t="s">
        <v>197</v>
      </c>
      <c r="H775" t="s">
        <v>182</v>
      </c>
    </row>
    <row r="776" spans="1:8" x14ac:dyDescent="0.3">
      <c r="A776">
        <v>775</v>
      </c>
      <c r="B776" s="1">
        <v>45930</v>
      </c>
      <c r="C776" s="2">
        <v>0.72361111111111109</v>
      </c>
      <c r="D776" t="s">
        <v>8</v>
      </c>
      <c r="E776" t="s">
        <v>9</v>
      </c>
      <c r="F776">
        <v>25</v>
      </c>
      <c r="G776" t="s">
        <v>198</v>
      </c>
      <c r="H776" t="s">
        <v>182</v>
      </c>
    </row>
    <row r="777" spans="1:8" x14ac:dyDescent="0.3">
      <c r="A777">
        <v>776</v>
      </c>
      <c r="B777" s="1">
        <v>45931</v>
      </c>
      <c r="C777" s="2">
        <v>0.93888888888888888</v>
      </c>
      <c r="D777" t="s">
        <v>8</v>
      </c>
      <c r="E777" t="s">
        <v>9</v>
      </c>
      <c r="F777">
        <v>207</v>
      </c>
      <c r="G777" t="s">
        <v>199</v>
      </c>
      <c r="H777" t="s">
        <v>200</v>
      </c>
    </row>
    <row r="778" spans="1:8" x14ac:dyDescent="0.3">
      <c r="A778">
        <v>777</v>
      </c>
      <c r="B778" s="1">
        <v>45932</v>
      </c>
      <c r="C778" s="2">
        <v>6.805555555555555E-2</v>
      </c>
      <c r="D778" t="s">
        <v>8</v>
      </c>
      <c r="E778" t="s">
        <v>9</v>
      </c>
      <c r="F778">
        <v>300</v>
      </c>
      <c r="G778" t="s">
        <v>185</v>
      </c>
      <c r="H778" t="s">
        <v>200</v>
      </c>
    </row>
    <row r="779" spans="1:8" x14ac:dyDescent="0.3">
      <c r="A779">
        <v>778</v>
      </c>
      <c r="B779" s="1">
        <v>45933</v>
      </c>
      <c r="C779" s="2">
        <v>0.93819444444444444</v>
      </c>
      <c r="D779" t="s">
        <v>22</v>
      </c>
      <c r="E779" t="s">
        <v>23</v>
      </c>
      <c r="F779">
        <v>5000</v>
      </c>
      <c r="G779" t="s">
        <v>74</v>
      </c>
      <c r="H779" t="s">
        <v>200</v>
      </c>
    </row>
    <row r="780" spans="1:8" x14ac:dyDescent="0.3">
      <c r="A780">
        <v>779</v>
      </c>
      <c r="B780" s="1">
        <v>45933</v>
      </c>
      <c r="C780" s="2">
        <v>0.95</v>
      </c>
      <c r="D780" t="s">
        <v>8</v>
      </c>
      <c r="E780" t="s">
        <v>9</v>
      </c>
      <c r="F780">
        <v>5000</v>
      </c>
      <c r="G780" t="s">
        <v>185</v>
      </c>
      <c r="H780" t="s">
        <v>200</v>
      </c>
    </row>
    <row r="781" spans="1:8" x14ac:dyDescent="0.3">
      <c r="A781">
        <v>780</v>
      </c>
      <c r="B781" s="1">
        <v>45934</v>
      </c>
      <c r="C781" s="2">
        <v>0.47916666666666669</v>
      </c>
      <c r="D781" t="s">
        <v>49</v>
      </c>
      <c r="E781" t="s">
        <v>9</v>
      </c>
      <c r="F781">
        <v>183</v>
      </c>
      <c r="G781" t="s">
        <v>50</v>
      </c>
      <c r="H781" t="s">
        <v>200</v>
      </c>
    </row>
    <row r="782" spans="1:8" x14ac:dyDescent="0.3">
      <c r="A782">
        <v>781</v>
      </c>
      <c r="B782" s="1">
        <v>45934</v>
      </c>
      <c r="C782" s="2">
        <v>0.49513888888888891</v>
      </c>
      <c r="D782" t="s">
        <v>22</v>
      </c>
      <c r="E782" t="s">
        <v>23</v>
      </c>
      <c r="F782">
        <v>2000</v>
      </c>
      <c r="G782" t="s">
        <v>156</v>
      </c>
      <c r="H782" t="s">
        <v>200</v>
      </c>
    </row>
    <row r="783" spans="1:8" x14ac:dyDescent="0.3">
      <c r="A783">
        <v>782</v>
      </c>
      <c r="B783" s="1">
        <v>45934</v>
      </c>
      <c r="C783" s="2">
        <v>0.5131944444444444</v>
      </c>
      <c r="D783" t="s">
        <v>8</v>
      </c>
      <c r="E783" t="s">
        <v>9</v>
      </c>
      <c r="F783">
        <v>2000</v>
      </c>
      <c r="G783" t="s">
        <v>185</v>
      </c>
      <c r="H783" t="s">
        <v>200</v>
      </c>
    </row>
    <row r="784" spans="1:8" x14ac:dyDescent="0.3">
      <c r="A784">
        <v>783</v>
      </c>
      <c r="B784" s="1">
        <v>45936</v>
      </c>
      <c r="C784" s="2">
        <v>0.38750000000000001</v>
      </c>
      <c r="D784" t="s">
        <v>22</v>
      </c>
      <c r="E784" t="s">
        <v>23</v>
      </c>
      <c r="F784">
        <v>15</v>
      </c>
      <c r="G784" t="s">
        <v>74</v>
      </c>
      <c r="H784" t="s">
        <v>200</v>
      </c>
    </row>
    <row r="785" spans="1:8" x14ac:dyDescent="0.3">
      <c r="A785">
        <v>784</v>
      </c>
      <c r="B785" s="1">
        <v>45937</v>
      </c>
      <c r="C785" s="2">
        <v>0.75</v>
      </c>
      <c r="D785" t="s">
        <v>8</v>
      </c>
      <c r="E785" t="s">
        <v>9</v>
      </c>
      <c r="F785">
        <v>1</v>
      </c>
      <c r="G785" t="s">
        <v>201</v>
      </c>
      <c r="H785" t="s">
        <v>200</v>
      </c>
    </row>
    <row r="786" spans="1:8" x14ac:dyDescent="0.3">
      <c r="A786">
        <v>785</v>
      </c>
      <c r="B786" s="1">
        <v>45938</v>
      </c>
      <c r="C786" s="2">
        <v>0.45763888888888887</v>
      </c>
      <c r="D786" t="s">
        <v>8</v>
      </c>
      <c r="E786" t="s">
        <v>9</v>
      </c>
      <c r="F786">
        <v>135</v>
      </c>
      <c r="G786" t="s">
        <v>202</v>
      </c>
      <c r="H786" t="s">
        <v>200</v>
      </c>
    </row>
    <row r="787" spans="1:8" x14ac:dyDescent="0.3">
      <c r="A787">
        <v>786</v>
      </c>
      <c r="B787" s="1">
        <v>45938</v>
      </c>
      <c r="C787" s="2">
        <v>0.56041666666666667</v>
      </c>
      <c r="D787" t="s">
        <v>22</v>
      </c>
      <c r="E787" t="s">
        <v>23</v>
      </c>
      <c r="F787">
        <v>350</v>
      </c>
      <c r="G787" t="s">
        <v>201</v>
      </c>
      <c r="H787" t="s">
        <v>200</v>
      </c>
    </row>
    <row r="788" spans="1:8" x14ac:dyDescent="0.3">
      <c r="A788">
        <v>787</v>
      </c>
      <c r="B788" s="1">
        <v>45938</v>
      </c>
      <c r="C788" s="2">
        <v>0.59097222222222223</v>
      </c>
      <c r="D788" t="s">
        <v>8</v>
      </c>
      <c r="E788" t="s">
        <v>9</v>
      </c>
      <c r="F788">
        <v>50</v>
      </c>
      <c r="G788" t="s">
        <v>74</v>
      </c>
      <c r="H788" t="s">
        <v>200</v>
      </c>
    </row>
    <row r="789" spans="1:8" x14ac:dyDescent="0.3">
      <c r="A789">
        <v>788</v>
      </c>
      <c r="B789" s="1">
        <v>45939</v>
      </c>
      <c r="C789" s="2">
        <v>0.67152777777777772</v>
      </c>
      <c r="D789" t="s">
        <v>49</v>
      </c>
      <c r="E789" t="s">
        <v>9</v>
      </c>
      <c r="F789">
        <v>109</v>
      </c>
      <c r="G789" t="s">
        <v>50</v>
      </c>
      <c r="H789" t="s">
        <v>200</v>
      </c>
    </row>
    <row r="790" spans="1:8" x14ac:dyDescent="0.3">
      <c r="A790">
        <v>789</v>
      </c>
      <c r="B790" s="1">
        <v>45939</v>
      </c>
      <c r="C790" s="2">
        <v>0.6791666666666667</v>
      </c>
      <c r="D790" t="s">
        <v>49</v>
      </c>
      <c r="E790" t="s">
        <v>9</v>
      </c>
      <c r="F790">
        <v>87</v>
      </c>
      <c r="G790" t="s">
        <v>50</v>
      </c>
      <c r="H790" t="s">
        <v>200</v>
      </c>
    </row>
    <row r="791" spans="1:8" x14ac:dyDescent="0.3">
      <c r="A791">
        <v>790</v>
      </c>
      <c r="B791" s="1">
        <v>45941</v>
      </c>
      <c r="C791" s="2">
        <v>0.77361111111111114</v>
      </c>
      <c r="D791" t="s">
        <v>22</v>
      </c>
      <c r="E791" t="s">
        <v>23</v>
      </c>
      <c r="F791">
        <v>270</v>
      </c>
      <c r="G791" t="s">
        <v>74</v>
      </c>
      <c r="H791" t="s">
        <v>200</v>
      </c>
    </row>
    <row r="792" spans="1:8" x14ac:dyDescent="0.3">
      <c r="A792">
        <v>791</v>
      </c>
      <c r="B792" s="1">
        <v>45941</v>
      </c>
      <c r="C792" s="2">
        <v>0.77500000000000002</v>
      </c>
      <c r="D792" t="s">
        <v>8</v>
      </c>
      <c r="E792" t="s">
        <v>9</v>
      </c>
      <c r="F792">
        <v>150</v>
      </c>
      <c r="G792" t="s">
        <v>203</v>
      </c>
      <c r="H792" t="s">
        <v>200</v>
      </c>
    </row>
    <row r="793" spans="1:8" x14ac:dyDescent="0.3">
      <c r="A793">
        <v>792</v>
      </c>
      <c r="B793" s="1">
        <v>45941</v>
      </c>
      <c r="C793" s="2">
        <v>0.77708333333333335</v>
      </c>
      <c r="D793" t="s">
        <v>8</v>
      </c>
      <c r="E793" t="s">
        <v>9</v>
      </c>
      <c r="F793">
        <v>100</v>
      </c>
      <c r="G793" t="s">
        <v>101</v>
      </c>
      <c r="H793" t="s">
        <v>200</v>
      </c>
    </row>
    <row r="794" spans="1:8" x14ac:dyDescent="0.3">
      <c r="A794">
        <v>793</v>
      </c>
      <c r="B794" s="1">
        <v>45941</v>
      </c>
      <c r="C794" s="2">
        <v>0.77777777777777779</v>
      </c>
      <c r="D794" t="s">
        <v>8</v>
      </c>
      <c r="E794" t="s">
        <v>9</v>
      </c>
      <c r="F794">
        <v>50</v>
      </c>
      <c r="G794" t="s">
        <v>74</v>
      </c>
      <c r="H794" t="s">
        <v>200</v>
      </c>
    </row>
    <row r="795" spans="1:8" x14ac:dyDescent="0.3">
      <c r="A795">
        <v>794</v>
      </c>
      <c r="B795" s="1">
        <v>45941</v>
      </c>
      <c r="C795" s="2">
        <v>0.77916666666666667</v>
      </c>
      <c r="D795" t="s">
        <v>8</v>
      </c>
      <c r="E795" t="s">
        <v>9</v>
      </c>
      <c r="F795">
        <v>85</v>
      </c>
      <c r="G795" t="s">
        <v>33</v>
      </c>
      <c r="H795" t="s">
        <v>200</v>
      </c>
    </row>
    <row r="796" spans="1:8" x14ac:dyDescent="0.3">
      <c r="A796">
        <v>795</v>
      </c>
      <c r="B796" s="1">
        <v>45942</v>
      </c>
      <c r="C796" s="2">
        <v>0.55902777777777779</v>
      </c>
      <c r="D796" t="s">
        <v>49</v>
      </c>
      <c r="E796" t="s">
        <v>23</v>
      </c>
      <c r="F796">
        <v>183</v>
      </c>
      <c r="G796" t="s">
        <v>144</v>
      </c>
      <c r="H796" t="s">
        <v>200</v>
      </c>
    </row>
    <row r="797" spans="1:8" x14ac:dyDescent="0.3">
      <c r="A797">
        <v>796</v>
      </c>
      <c r="B797" s="1">
        <v>45942</v>
      </c>
      <c r="C797" s="2">
        <v>0.55902777777777779</v>
      </c>
      <c r="D797" t="s">
        <v>49</v>
      </c>
      <c r="E797" t="s">
        <v>23</v>
      </c>
      <c r="F797">
        <v>183</v>
      </c>
      <c r="G797" t="s">
        <v>145</v>
      </c>
      <c r="H797" t="s">
        <v>200</v>
      </c>
    </row>
    <row r="798" spans="1:8" x14ac:dyDescent="0.3">
      <c r="A798">
        <v>797</v>
      </c>
      <c r="B798" s="1">
        <v>45942</v>
      </c>
      <c r="C798" s="2">
        <v>0.56388888888888888</v>
      </c>
      <c r="D798" t="s">
        <v>49</v>
      </c>
      <c r="E798" t="s">
        <v>9</v>
      </c>
      <c r="F798">
        <v>183</v>
      </c>
      <c r="G798" t="s">
        <v>50</v>
      </c>
      <c r="H798" t="s">
        <v>200</v>
      </c>
    </row>
    <row r="799" spans="1:8" x14ac:dyDescent="0.3">
      <c r="A799">
        <v>798</v>
      </c>
      <c r="B799" s="1">
        <v>45943</v>
      </c>
      <c r="C799" s="2">
        <v>0.47916666666666669</v>
      </c>
      <c r="D799" t="s">
        <v>8</v>
      </c>
      <c r="E799" t="s">
        <v>9</v>
      </c>
      <c r="F799">
        <v>19</v>
      </c>
      <c r="G799" t="s">
        <v>166</v>
      </c>
      <c r="H799" t="s">
        <v>200</v>
      </c>
    </row>
    <row r="800" spans="1:8" x14ac:dyDescent="0.3">
      <c r="A800">
        <v>799</v>
      </c>
      <c r="B800" s="1">
        <v>45945</v>
      </c>
      <c r="C800" s="2">
        <v>0.44374999999999998</v>
      </c>
      <c r="D800" t="s">
        <v>8</v>
      </c>
      <c r="E800" t="s">
        <v>9</v>
      </c>
      <c r="F800">
        <v>165</v>
      </c>
      <c r="G800" t="s">
        <v>202</v>
      </c>
      <c r="H800" t="s">
        <v>200</v>
      </c>
    </row>
    <row r="801" spans="1:8" x14ac:dyDescent="0.3">
      <c r="A801">
        <v>800</v>
      </c>
      <c r="B801" s="1">
        <v>45945</v>
      </c>
      <c r="C801" s="2">
        <v>0.91736111111111107</v>
      </c>
      <c r="D801" t="s">
        <v>22</v>
      </c>
      <c r="E801" t="s">
        <v>23</v>
      </c>
      <c r="F801">
        <v>2200</v>
      </c>
      <c r="G801" t="s">
        <v>204</v>
      </c>
      <c r="H801" t="s">
        <v>200</v>
      </c>
    </row>
    <row r="802" spans="1:8" x14ac:dyDescent="0.3">
      <c r="A802">
        <v>801</v>
      </c>
      <c r="B802" s="1">
        <v>45946</v>
      </c>
      <c r="C802" s="2">
        <v>0.44374999999999998</v>
      </c>
      <c r="D802" t="s">
        <v>22</v>
      </c>
      <c r="E802" t="s">
        <v>23</v>
      </c>
      <c r="F802">
        <v>2500</v>
      </c>
      <c r="G802" t="s">
        <v>26</v>
      </c>
      <c r="H802" t="s">
        <v>200</v>
      </c>
    </row>
    <row r="803" spans="1:8" x14ac:dyDescent="0.3">
      <c r="A803">
        <v>802</v>
      </c>
      <c r="B803" s="1">
        <v>45946</v>
      </c>
      <c r="C803" s="2">
        <v>0.44791666666666669</v>
      </c>
      <c r="D803" t="s">
        <v>22</v>
      </c>
      <c r="E803" t="s">
        <v>23</v>
      </c>
      <c r="F803">
        <v>700</v>
      </c>
      <c r="G803" t="s">
        <v>10</v>
      </c>
      <c r="H803" t="s">
        <v>200</v>
      </c>
    </row>
    <row r="804" spans="1:8" x14ac:dyDescent="0.3">
      <c r="A804">
        <v>803</v>
      </c>
      <c r="B804" s="1">
        <v>45946</v>
      </c>
      <c r="C804" s="2">
        <v>0.44930555555555557</v>
      </c>
      <c r="D804" t="s">
        <v>8</v>
      </c>
      <c r="E804" t="s">
        <v>9</v>
      </c>
      <c r="F804">
        <v>2500</v>
      </c>
      <c r="G804" t="s">
        <v>185</v>
      </c>
      <c r="H804" t="s">
        <v>200</v>
      </c>
    </row>
    <row r="805" spans="1:8" x14ac:dyDescent="0.3">
      <c r="A805">
        <v>804</v>
      </c>
      <c r="B805" s="1">
        <v>45946</v>
      </c>
      <c r="C805" s="2">
        <v>0.47638888888888886</v>
      </c>
      <c r="D805" t="s">
        <v>8</v>
      </c>
      <c r="E805" t="s">
        <v>9</v>
      </c>
      <c r="F805">
        <v>27</v>
      </c>
      <c r="G805" t="s">
        <v>24</v>
      </c>
      <c r="H805" t="s">
        <v>200</v>
      </c>
    </row>
    <row r="806" spans="1:8" x14ac:dyDescent="0.3">
      <c r="A806">
        <v>805</v>
      </c>
      <c r="B806" s="1">
        <v>45946</v>
      </c>
      <c r="C806" s="2">
        <v>0.82152777777777775</v>
      </c>
      <c r="D806" t="s">
        <v>49</v>
      </c>
      <c r="E806" t="s">
        <v>23</v>
      </c>
      <c r="F806">
        <v>87</v>
      </c>
      <c r="G806" t="s">
        <v>144</v>
      </c>
      <c r="H806" t="s">
        <v>200</v>
      </c>
    </row>
    <row r="807" spans="1:8" x14ac:dyDescent="0.3">
      <c r="A807">
        <v>806</v>
      </c>
      <c r="B807" s="1">
        <v>45946</v>
      </c>
      <c r="C807" s="2">
        <v>0.82152777777777775</v>
      </c>
      <c r="D807" t="s">
        <v>49</v>
      </c>
      <c r="E807" t="s">
        <v>23</v>
      </c>
      <c r="F807">
        <v>87</v>
      </c>
      <c r="G807" t="s">
        <v>145</v>
      </c>
      <c r="H807" t="s">
        <v>200</v>
      </c>
    </row>
    <row r="808" spans="1:8" x14ac:dyDescent="0.3">
      <c r="A808">
        <v>807</v>
      </c>
      <c r="B808" s="1">
        <v>45946</v>
      </c>
      <c r="C808" s="2">
        <v>0.85416666666666663</v>
      </c>
      <c r="D808" t="s">
        <v>38</v>
      </c>
      <c r="E808" t="s">
        <v>9</v>
      </c>
      <c r="F808">
        <v>65</v>
      </c>
      <c r="G808" t="s">
        <v>205</v>
      </c>
      <c r="H808" t="s">
        <v>200</v>
      </c>
    </row>
    <row r="809" spans="1:8" x14ac:dyDescent="0.3">
      <c r="A809">
        <v>808</v>
      </c>
      <c r="B809" s="1">
        <v>45947</v>
      </c>
      <c r="C809" s="2">
        <v>0.55486111111111114</v>
      </c>
      <c r="D809" t="s">
        <v>22</v>
      </c>
      <c r="E809" t="s">
        <v>23</v>
      </c>
      <c r="F809">
        <v>65</v>
      </c>
      <c r="G809" t="s">
        <v>12</v>
      </c>
      <c r="H809" t="s">
        <v>200</v>
      </c>
    </row>
    <row r="810" spans="1:8" x14ac:dyDescent="0.3">
      <c r="A810">
        <v>809</v>
      </c>
      <c r="B810" s="1">
        <v>45947</v>
      </c>
      <c r="C810" s="2">
        <v>0.58680555555555558</v>
      </c>
      <c r="D810" t="s">
        <v>8</v>
      </c>
      <c r="E810" t="s">
        <v>9</v>
      </c>
      <c r="F810">
        <v>222</v>
      </c>
      <c r="G810" t="s">
        <v>206</v>
      </c>
      <c r="H810" t="s">
        <v>200</v>
      </c>
    </row>
    <row r="811" spans="1:8" x14ac:dyDescent="0.3">
      <c r="A811">
        <v>810</v>
      </c>
      <c r="B811" s="1">
        <v>45947</v>
      </c>
      <c r="C811" s="2">
        <v>0.72083333333333333</v>
      </c>
      <c r="D811" t="s">
        <v>8</v>
      </c>
      <c r="E811" t="s">
        <v>9</v>
      </c>
      <c r="F811">
        <v>2500</v>
      </c>
      <c r="G811" t="s">
        <v>185</v>
      </c>
      <c r="H811" t="s">
        <v>200</v>
      </c>
    </row>
    <row r="812" spans="1:8" x14ac:dyDescent="0.3">
      <c r="A812">
        <v>811</v>
      </c>
      <c r="B812" s="1">
        <v>45949</v>
      </c>
      <c r="C812" s="2">
        <v>0.38750000000000001</v>
      </c>
      <c r="D812" t="s">
        <v>22</v>
      </c>
      <c r="E812" t="s">
        <v>23</v>
      </c>
      <c r="F812">
        <v>2500</v>
      </c>
      <c r="G812" t="s">
        <v>185</v>
      </c>
      <c r="H812" t="s">
        <v>200</v>
      </c>
    </row>
    <row r="813" spans="1:8" x14ac:dyDescent="0.3">
      <c r="A813">
        <v>812</v>
      </c>
      <c r="B813" s="1">
        <v>45949</v>
      </c>
      <c r="C813" s="2">
        <v>0.69305555555555554</v>
      </c>
      <c r="D813" t="s">
        <v>8</v>
      </c>
      <c r="E813" t="s">
        <v>9</v>
      </c>
      <c r="F813">
        <v>525</v>
      </c>
      <c r="G813" t="s">
        <v>146</v>
      </c>
      <c r="H813" t="s">
        <v>200</v>
      </c>
    </row>
    <row r="814" spans="1:8" x14ac:dyDescent="0.3">
      <c r="A814">
        <v>813</v>
      </c>
      <c r="B814" s="1">
        <v>45949</v>
      </c>
      <c r="C814" s="2">
        <v>0.77847222222222223</v>
      </c>
      <c r="D814" t="s">
        <v>8</v>
      </c>
      <c r="E814" t="s">
        <v>9</v>
      </c>
      <c r="F814">
        <v>2000</v>
      </c>
      <c r="G814" t="s">
        <v>185</v>
      </c>
      <c r="H814" t="s">
        <v>200</v>
      </c>
    </row>
    <row r="815" spans="1:8" x14ac:dyDescent="0.3">
      <c r="A815">
        <v>814</v>
      </c>
      <c r="B815" s="1">
        <v>45950</v>
      </c>
      <c r="C815" s="2">
        <v>0.4201388888888889</v>
      </c>
      <c r="D815" t="s">
        <v>22</v>
      </c>
      <c r="E815" t="s">
        <v>23</v>
      </c>
      <c r="F815">
        <v>1300</v>
      </c>
      <c r="G815" t="s">
        <v>10</v>
      </c>
      <c r="H815" t="s">
        <v>200</v>
      </c>
    </row>
    <row r="816" spans="1:8" x14ac:dyDescent="0.3">
      <c r="A816">
        <v>815</v>
      </c>
      <c r="B816" s="1">
        <v>45950</v>
      </c>
      <c r="C816" s="2">
        <v>0.4201388888888889</v>
      </c>
      <c r="D816" t="s">
        <v>8</v>
      </c>
      <c r="E816" t="s">
        <v>9</v>
      </c>
      <c r="F816">
        <v>1300</v>
      </c>
      <c r="G816" t="s">
        <v>185</v>
      </c>
      <c r="H816" t="s">
        <v>200</v>
      </c>
    </row>
    <row r="817" spans="1:8" x14ac:dyDescent="0.3">
      <c r="A817">
        <v>816</v>
      </c>
      <c r="B817" s="1">
        <v>45950</v>
      </c>
      <c r="C817" s="2">
        <v>0.74791666666666667</v>
      </c>
      <c r="D817" t="s">
        <v>8</v>
      </c>
      <c r="E817" t="s">
        <v>9</v>
      </c>
      <c r="F817">
        <v>99</v>
      </c>
      <c r="G817" t="s">
        <v>207</v>
      </c>
      <c r="H817" t="s">
        <v>200</v>
      </c>
    </row>
    <row r="818" spans="1:8" x14ac:dyDescent="0.3">
      <c r="A818">
        <v>817</v>
      </c>
      <c r="B818" s="1">
        <v>45951</v>
      </c>
      <c r="C818" s="2">
        <v>0.75763888888888886</v>
      </c>
      <c r="D818" t="s">
        <v>8</v>
      </c>
      <c r="E818" t="s">
        <v>9</v>
      </c>
      <c r="F818">
        <v>40</v>
      </c>
      <c r="G818" t="s">
        <v>30</v>
      </c>
      <c r="H818" t="s">
        <v>200</v>
      </c>
    </row>
    <row r="819" spans="1:8" x14ac:dyDescent="0.3">
      <c r="A819">
        <v>818</v>
      </c>
      <c r="B819" s="1">
        <v>45952</v>
      </c>
      <c r="C819" s="2">
        <v>0.55763888888888891</v>
      </c>
      <c r="D819" t="s">
        <v>22</v>
      </c>
      <c r="E819" t="s">
        <v>23</v>
      </c>
      <c r="F819">
        <v>40</v>
      </c>
      <c r="G819" t="s">
        <v>30</v>
      </c>
      <c r="H819" t="s">
        <v>200</v>
      </c>
    </row>
    <row r="820" spans="1:8" x14ac:dyDescent="0.3">
      <c r="A820">
        <v>819</v>
      </c>
      <c r="B820" s="1">
        <v>45952</v>
      </c>
      <c r="C820" s="2">
        <v>0.62430555555555556</v>
      </c>
      <c r="D820" t="s">
        <v>49</v>
      </c>
      <c r="E820" t="s">
        <v>9</v>
      </c>
      <c r="F820">
        <v>106</v>
      </c>
      <c r="G820" t="s">
        <v>50</v>
      </c>
      <c r="H820" t="s">
        <v>200</v>
      </c>
    </row>
    <row r="821" spans="1:8" x14ac:dyDescent="0.3">
      <c r="A821">
        <v>820</v>
      </c>
      <c r="B821" s="1">
        <v>45952</v>
      </c>
      <c r="C821" s="2">
        <v>0.64236111111111116</v>
      </c>
      <c r="D821" t="s">
        <v>22</v>
      </c>
      <c r="E821" t="s">
        <v>23</v>
      </c>
      <c r="F821">
        <v>11000</v>
      </c>
      <c r="G821" t="s">
        <v>127</v>
      </c>
      <c r="H821" t="s">
        <v>200</v>
      </c>
    </row>
    <row r="822" spans="1:8" x14ac:dyDescent="0.3">
      <c r="A822">
        <v>821</v>
      </c>
      <c r="B822" s="1">
        <v>45952</v>
      </c>
      <c r="C822" s="2">
        <v>0.64236111111111116</v>
      </c>
      <c r="D822" t="s">
        <v>8</v>
      </c>
      <c r="E822" t="s">
        <v>9</v>
      </c>
      <c r="F822">
        <v>11000</v>
      </c>
      <c r="G822" t="s">
        <v>146</v>
      </c>
      <c r="H822" t="s">
        <v>200</v>
      </c>
    </row>
    <row r="823" spans="1:8" x14ac:dyDescent="0.3">
      <c r="A823">
        <v>822</v>
      </c>
      <c r="B823" s="1">
        <v>45952</v>
      </c>
      <c r="C823" s="2">
        <v>0.64583333333333337</v>
      </c>
      <c r="D823" t="s">
        <v>22</v>
      </c>
      <c r="E823" t="s">
        <v>23</v>
      </c>
      <c r="F823">
        <v>11000</v>
      </c>
      <c r="G823" t="s">
        <v>12</v>
      </c>
      <c r="H823" t="s">
        <v>200</v>
      </c>
    </row>
    <row r="824" spans="1:8" x14ac:dyDescent="0.3">
      <c r="A824">
        <v>823</v>
      </c>
      <c r="B824" s="1">
        <v>45953</v>
      </c>
      <c r="C824" s="2">
        <v>0.50069444444444444</v>
      </c>
      <c r="D824" t="s">
        <v>8</v>
      </c>
      <c r="E824" t="s">
        <v>9</v>
      </c>
      <c r="F824">
        <v>11000</v>
      </c>
      <c r="G824" t="s">
        <v>127</v>
      </c>
      <c r="H824" t="s">
        <v>200</v>
      </c>
    </row>
    <row r="825" spans="1:8" x14ac:dyDescent="0.3">
      <c r="A825">
        <v>824</v>
      </c>
      <c r="B825" s="1">
        <v>45954</v>
      </c>
      <c r="C825" s="2">
        <v>0.43333333333333335</v>
      </c>
      <c r="D825" t="s">
        <v>8</v>
      </c>
      <c r="E825" t="s">
        <v>9</v>
      </c>
      <c r="F825">
        <v>25</v>
      </c>
      <c r="G825" t="s">
        <v>208</v>
      </c>
      <c r="H825" t="s">
        <v>200</v>
      </c>
    </row>
    <row r="826" spans="1:8" x14ac:dyDescent="0.3">
      <c r="A826">
        <v>825</v>
      </c>
      <c r="B826" s="1">
        <v>45954</v>
      </c>
      <c r="C826" s="2">
        <v>0.46180555555555558</v>
      </c>
      <c r="D826" t="s">
        <v>8</v>
      </c>
      <c r="E826" t="s">
        <v>9</v>
      </c>
      <c r="F826">
        <v>60</v>
      </c>
      <c r="G826" t="s">
        <v>209</v>
      </c>
      <c r="H826" t="s">
        <v>200</v>
      </c>
    </row>
    <row r="827" spans="1:8" x14ac:dyDescent="0.3">
      <c r="A827">
        <v>826</v>
      </c>
      <c r="B827" s="1">
        <v>45954</v>
      </c>
      <c r="C827" s="2">
        <v>0.53541666666666665</v>
      </c>
      <c r="D827" t="s">
        <v>8</v>
      </c>
      <c r="E827" t="s">
        <v>9</v>
      </c>
      <c r="F827">
        <v>59</v>
      </c>
      <c r="G827" t="s">
        <v>210</v>
      </c>
      <c r="H827" t="s">
        <v>200</v>
      </c>
    </row>
    <row r="828" spans="1:8" x14ac:dyDescent="0.3">
      <c r="A828">
        <v>827</v>
      </c>
      <c r="B828" s="1">
        <v>45954</v>
      </c>
      <c r="C828" s="2">
        <v>0.68541666666666667</v>
      </c>
      <c r="D828" t="s">
        <v>22</v>
      </c>
      <c r="E828" t="s">
        <v>23</v>
      </c>
      <c r="F828">
        <v>600</v>
      </c>
      <c r="G828" t="s">
        <v>127</v>
      </c>
      <c r="H828" t="s">
        <v>200</v>
      </c>
    </row>
    <row r="829" spans="1:8" x14ac:dyDescent="0.3">
      <c r="A829">
        <v>828</v>
      </c>
      <c r="B829" s="1">
        <v>45954</v>
      </c>
      <c r="C829" s="2">
        <v>0.70833333333333337</v>
      </c>
      <c r="D829" t="s">
        <v>22</v>
      </c>
      <c r="E829" t="s">
        <v>23</v>
      </c>
      <c r="F829">
        <v>900</v>
      </c>
      <c r="G829" t="s">
        <v>12</v>
      </c>
      <c r="H829" t="s">
        <v>200</v>
      </c>
    </row>
    <row r="830" spans="1:8" x14ac:dyDescent="0.3">
      <c r="A830">
        <v>829</v>
      </c>
      <c r="B830" s="1">
        <v>45954</v>
      </c>
      <c r="C830" s="2">
        <v>0.88611111111111107</v>
      </c>
      <c r="D830" t="s">
        <v>8</v>
      </c>
      <c r="E830" t="s">
        <v>9</v>
      </c>
      <c r="F830">
        <v>300</v>
      </c>
      <c r="G830" t="s">
        <v>185</v>
      </c>
      <c r="H830" t="s">
        <v>200</v>
      </c>
    </row>
    <row r="831" spans="1:8" x14ac:dyDescent="0.3">
      <c r="A831">
        <v>830</v>
      </c>
      <c r="B831" s="1">
        <v>45955</v>
      </c>
      <c r="C831" s="2">
        <v>0.78194444444444444</v>
      </c>
      <c r="D831" t="s">
        <v>8</v>
      </c>
      <c r="E831" t="s">
        <v>9</v>
      </c>
      <c r="F831">
        <v>10</v>
      </c>
      <c r="G831" t="s">
        <v>211</v>
      </c>
      <c r="H831" t="s">
        <v>200</v>
      </c>
    </row>
    <row r="832" spans="1:8" x14ac:dyDescent="0.3">
      <c r="A832">
        <v>831</v>
      </c>
      <c r="B832" s="1">
        <v>45956</v>
      </c>
      <c r="C832" s="2">
        <v>2.6388888888888889E-2</v>
      </c>
      <c r="D832" t="s">
        <v>22</v>
      </c>
      <c r="E832" t="s">
        <v>23</v>
      </c>
      <c r="F832">
        <v>61.74</v>
      </c>
      <c r="G832" t="s">
        <v>212</v>
      </c>
      <c r="H832" t="s">
        <v>200</v>
      </c>
    </row>
    <row r="833" spans="1:8" x14ac:dyDescent="0.3">
      <c r="A833">
        <v>832</v>
      </c>
      <c r="B833" s="1">
        <v>45956</v>
      </c>
      <c r="C833" s="2">
        <v>2.7083333333333334E-2</v>
      </c>
      <c r="D833" t="s">
        <v>16</v>
      </c>
      <c r="E833" t="s">
        <v>9</v>
      </c>
      <c r="F833">
        <v>61</v>
      </c>
      <c r="G833" t="s">
        <v>17</v>
      </c>
      <c r="H833" t="s">
        <v>200</v>
      </c>
    </row>
    <row r="834" spans="1:8" x14ac:dyDescent="0.3">
      <c r="A834">
        <v>833</v>
      </c>
      <c r="B834" s="1">
        <v>45956</v>
      </c>
      <c r="C834" s="2">
        <v>0.92361111111111116</v>
      </c>
      <c r="D834" t="s">
        <v>22</v>
      </c>
      <c r="E834" t="s">
        <v>23</v>
      </c>
      <c r="F834">
        <v>271.62</v>
      </c>
      <c r="G834" t="s">
        <v>212</v>
      </c>
      <c r="H834" t="s">
        <v>200</v>
      </c>
    </row>
    <row r="835" spans="1:8" x14ac:dyDescent="0.3">
      <c r="A835">
        <v>834</v>
      </c>
      <c r="B835" s="1">
        <v>45956</v>
      </c>
      <c r="C835" s="2">
        <v>0.9243055555555556</v>
      </c>
      <c r="D835" t="s">
        <v>16</v>
      </c>
      <c r="E835" t="s">
        <v>9</v>
      </c>
      <c r="F835">
        <v>271</v>
      </c>
      <c r="G835" t="s">
        <v>17</v>
      </c>
      <c r="H835" t="s">
        <v>200</v>
      </c>
    </row>
    <row r="836" spans="1:8" x14ac:dyDescent="0.3">
      <c r="A836">
        <v>835</v>
      </c>
      <c r="B836" s="1">
        <v>45957</v>
      </c>
      <c r="C836" s="2">
        <v>3.3333333333333333E-2</v>
      </c>
      <c r="D836" t="s">
        <v>22</v>
      </c>
      <c r="E836" t="s">
        <v>23</v>
      </c>
      <c r="F836">
        <v>1000</v>
      </c>
      <c r="G836" t="s">
        <v>12</v>
      </c>
      <c r="H836" t="s">
        <v>200</v>
      </c>
    </row>
    <row r="837" spans="1:8" x14ac:dyDescent="0.3">
      <c r="A837">
        <v>836</v>
      </c>
      <c r="B837" s="1">
        <v>45957</v>
      </c>
      <c r="C837" s="2">
        <v>3.4722222222222224E-2</v>
      </c>
      <c r="D837" t="s">
        <v>22</v>
      </c>
      <c r="E837" t="s">
        <v>23</v>
      </c>
      <c r="F837">
        <v>500</v>
      </c>
      <c r="G837" t="s">
        <v>12</v>
      </c>
      <c r="H837" t="s">
        <v>200</v>
      </c>
    </row>
    <row r="838" spans="1:8" x14ac:dyDescent="0.3">
      <c r="A838">
        <v>837</v>
      </c>
      <c r="B838" s="1">
        <v>45957</v>
      </c>
      <c r="C838" s="2">
        <v>0.37430555555555556</v>
      </c>
      <c r="D838" t="s">
        <v>8</v>
      </c>
      <c r="E838" t="s">
        <v>9</v>
      </c>
      <c r="F838">
        <v>9</v>
      </c>
      <c r="G838" t="s">
        <v>166</v>
      </c>
      <c r="H838" t="s">
        <v>200</v>
      </c>
    </row>
    <row r="839" spans="1:8" x14ac:dyDescent="0.3">
      <c r="A839">
        <v>838</v>
      </c>
      <c r="B839" s="1">
        <v>45957</v>
      </c>
      <c r="C839" s="2">
        <v>0.65069444444444446</v>
      </c>
      <c r="D839" t="s">
        <v>22</v>
      </c>
      <c r="E839" t="s">
        <v>23</v>
      </c>
      <c r="F839">
        <v>400</v>
      </c>
      <c r="G839" t="s">
        <v>74</v>
      </c>
      <c r="H839" t="s">
        <v>200</v>
      </c>
    </row>
    <row r="840" spans="1:8" x14ac:dyDescent="0.3">
      <c r="A840">
        <v>839</v>
      </c>
      <c r="B840" s="1">
        <v>45957</v>
      </c>
      <c r="C840" s="2">
        <v>0.75347222222222221</v>
      </c>
      <c r="D840" t="s">
        <v>22</v>
      </c>
      <c r="E840" t="s">
        <v>23</v>
      </c>
      <c r="F840">
        <v>1000</v>
      </c>
      <c r="G840" t="s">
        <v>12</v>
      </c>
      <c r="H840" t="s">
        <v>200</v>
      </c>
    </row>
    <row r="841" spans="1:8" x14ac:dyDescent="0.3">
      <c r="A841">
        <v>840</v>
      </c>
      <c r="B841" s="1">
        <v>45957</v>
      </c>
      <c r="C841" s="2">
        <v>0.8305555555555556</v>
      </c>
      <c r="D841" t="s">
        <v>8</v>
      </c>
      <c r="E841" t="s">
        <v>9</v>
      </c>
      <c r="F841">
        <v>500</v>
      </c>
      <c r="G841" t="s">
        <v>185</v>
      </c>
      <c r="H841" t="s">
        <v>200</v>
      </c>
    </row>
    <row r="842" spans="1:8" x14ac:dyDescent="0.3">
      <c r="A842">
        <v>841</v>
      </c>
      <c r="B842" s="1">
        <v>45957</v>
      </c>
      <c r="C842" s="2">
        <v>0.85833333333333328</v>
      </c>
      <c r="D842" t="s">
        <v>8</v>
      </c>
      <c r="E842" t="s">
        <v>9</v>
      </c>
      <c r="F842">
        <v>1000</v>
      </c>
      <c r="G842" t="s">
        <v>213</v>
      </c>
      <c r="H842" t="s">
        <v>200</v>
      </c>
    </row>
    <row r="843" spans="1:8" x14ac:dyDescent="0.3">
      <c r="A843">
        <v>842</v>
      </c>
      <c r="B843" s="1">
        <v>45957</v>
      </c>
      <c r="C843" s="2">
        <v>0.97638888888888886</v>
      </c>
      <c r="D843" t="s">
        <v>8</v>
      </c>
      <c r="E843" t="s">
        <v>9</v>
      </c>
      <c r="F843">
        <v>3500</v>
      </c>
      <c r="G843" t="s">
        <v>185</v>
      </c>
      <c r="H843" t="s">
        <v>200</v>
      </c>
    </row>
    <row r="844" spans="1:8" x14ac:dyDescent="0.3">
      <c r="A844">
        <v>843</v>
      </c>
      <c r="B844" s="1">
        <v>45957</v>
      </c>
      <c r="C844" s="2">
        <v>0.97638888888888886</v>
      </c>
      <c r="D844" t="s">
        <v>8</v>
      </c>
      <c r="E844" t="s">
        <v>9</v>
      </c>
      <c r="F844">
        <v>1500</v>
      </c>
      <c r="G844" t="s">
        <v>185</v>
      </c>
      <c r="H844" t="s">
        <v>200</v>
      </c>
    </row>
    <row r="845" spans="1:8" x14ac:dyDescent="0.3">
      <c r="A845">
        <v>844</v>
      </c>
      <c r="B845" s="1">
        <v>45958</v>
      </c>
      <c r="C845" s="2">
        <v>4.1666666666666666E-3</v>
      </c>
      <c r="D845" t="s">
        <v>22</v>
      </c>
      <c r="E845" t="s">
        <v>23</v>
      </c>
      <c r="F845">
        <v>345.87</v>
      </c>
      <c r="G845" t="s">
        <v>212</v>
      </c>
      <c r="H845" t="s">
        <v>200</v>
      </c>
    </row>
    <row r="846" spans="1:8" x14ac:dyDescent="0.3">
      <c r="A846">
        <v>845</v>
      </c>
      <c r="B846" s="1">
        <v>45958</v>
      </c>
      <c r="C846" s="2">
        <v>1.4583333333333334E-2</v>
      </c>
      <c r="D846" t="s">
        <v>16</v>
      </c>
      <c r="E846" t="s">
        <v>9</v>
      </c>
      <c r="F846">
        <v>345</v>
      </c>
      <c r="G846" t="s">
        <v>17</v>
      </c>
      <c r="H846" t="s">
        <v>200</v>
      </c>
    </row>
    <row r="847" spans="1:8" x14ac:dyDescent="0.3">
      <c r="A847">
        <v>846</v>
      </c>
      <c r="B847" s="1">
        <v>45958</v>
      </c>
      <c r="C847" s="2">
        <v>7.2222222222222215E-2</v>
      </c>
      <c r="D847" t="s">
        <v>8</v>
      </c>
      <c r="E847" t="s">
        <v>9</v>
      </c>
      <c r="F847">
        <v>20</v>
      </c>
      <c r="G847" t="s">
        <v>214</v>
      </c>
      <c r="H847" t="s">
        <v>200</v>
      </c>
    </row>
    <row r="848" spans="1:8" x14ac:dyDescent="0.3">
      <c r="A848">
        <v>847</v>
      </c>
      <c r="B848" s="1">
        <v>45958</v>
      </c>
      <c r="C848" s="2">
        <v>0.50486111111111109</v>
      </c>
      <c r="D848" t="s">
        <v>22</v>
      </c>
      <c r="E848" t="s">
        <v>23</v>
      </c>
      <c r="F848">
        <v>1000</v>
      </c>
      <c r="G848" t="s">
        <v>127</v>
      </c>
      <c r="H848" t="s">
        <v>200</v>
      </c>
    </row>
    <row r="849" spans="1:8" x14ac:dyDescent="0.3">
      <c r="A849">
        <v>848</v>
      </c>
      <c r="B849" s="1">
        <v>45958</v>
      </c>
      <c r="C849" s="2">
        <v>0.52013888888888893</v>
      </c>
      <c r="D849" t="s">
        <v>22</v>
      </c>
      <c r="E849" t="s">
        <v>23</v>
      </c>
      <c r="F849">
        <v>1000</v>
      </c>
      <c r="G849" t="s">
        <v>215</v>
      </c>
      <c r="H849" t="s">
        <v>200</v>
      </c>
    </row>
    <row r="850" spans="1:8" x14ac:dyDescent="0.3">
      <c r="A850">
        <v>849</v>
      </c>
      <c r="B850" s="1">
        <v>45958</v>
      </c>
      <c r="C850" s="2">
        <v>0.65555555555555556</v>
      </c>
      <c r="D850" t="s">
        <v>8</v>
      </c>
      <c r="E850" t="s">
        <v>9</v>
      </c>
      <c r="F850">
        <v>800</v>
      </c>
      <c r="G850" t="s">
        <v>216</v>
      </c>
      <c r="H850" t="s">
        <v>200</v>
      </c>
    </row>
    <row r="851" spans="1:8" x14ac:dyDescent="0.3">
      <c r="A851">
        <v>850</v>
      </c>
      <c r="B851" s="1">
        <v>45959</v>
      </c>
      <c r="C851" s="2">
        <v>0.36666666666666664</v>
      </c>
      <c r="D851" t="s">
        <v>8</v>
      </c>
      <c r="E851" t="s">
        <v>9</v>
      </c>
      <c r="F851">
        <v>200</v>
      </c>
      <c r="G851" t="s">
        <v>217</v>
      </c>
      <c r="H851" t="s">
        <v>200</v>
      </c>
    </row>
    <row r="852" spans="1:8" x14ac:dyDescent="0.3">
      <c r="A852">
        <v>851</v>
      </c>
      <c r="B852" s="1">
        <v>45959</v>
      </c>
      <c r="C852" s="2">
        <v>0.57986111111111116</v>
      </c>
      <c r="D852" t="s">
        <v>8</v>
      </c>
      <c r="E852" t="s">
        <v>9</v>
      </c>
      <c r="F852">
        <v>166</v>
      </c>
      <c r="G852" t="s">
        <v>35</v>
      </c>
      <c r="H852" t="s">
        <v>200</v>
      </c>
    </row>
    <row r="853" spans="1:8" x14ac:dyDescent="0.3">
      <c r="A853">
        <v>852</v>
      </c>
      <c r="B853" s="1">
        <v>45959</v>
      </c>
      <c r="C853" s="2">
        <v>0.78749999999999998</v>
      </c>
      <c r="D853" t="s">
        <v>8</v>
      </c>
      <c r="E853" t="s">
        <v>9</v>
      </c>
      <c r="F853">
        <v>100</v>
      </c>
      <c r="G853" t="s">
        <v>185</v>
      </c>
      <c r="H853" t="s">
        <v>200</v>
      </c>
    </row>
    <row r="854" spans="1:8" x14ac:dyDescent="0.3">
      <c r="A854">
        <v>853</v>
      </c>
      <c r="B854" s="1">
        <v>45960</v>
      </c>
      <c r="C854" s="2">
        <v>0.40416666666666667</v>
      </c>
      <c r="D854" t="s">
        <v>22</v>
      </c>
      <c r="E854" t="s">
        <v>23</v>
      </c>
      <c r="F854">
        <v>411.21</v>
      </c>
      <c r="G854" t="s">
        <v>218</v>
      </c>
      <c r="H854" t="s">
        <v>200</v>
      </c>
    </row>
    <row r="855" spans="1:8" x14ac:dyDescent="0.3">
      <c r="A855">
        <v>854</v>
      </c>
      <c r="B855" s="1">
        <v>45960</v>
      </c>
      <c r="C855" s="2">
        <v>0.49583333333333335</v>
      </c>
      <c r="D855" t="s">
        <v>16</v>
      </c>
      <c r="E855" t="s">
        <v>9</v>
      </c>
      <c r="F855">
        <v>411</v>
      </c>
      <c r="G855" t="s">
        <v>17</v>
      </c>
      <c r="H855" t="s">
        <v>200</v>
      </c>
    </row>
    <row r="856" spans="1:8" x14ac:dyDescent="0.3">
      <c r="A856">
        <v>855</v>
      </c>
      <c r="B856" s="1">
        <v>45960</v>
      </c>
      <c r="C856" s="2">
        <v>0.5229166666666667</v>
      </c>
      <c r="D856" t="s">
        <v>8</v>
      </c>
      <c r="E856" t="s">
        <v>9</v>
      </c>
      <c r="F856">
        <v>400</v>
      </c>
      <c r="G856" t="s">
        <v>219</v>
      </c>
      <c r="H856" t="s">
        <v>200</v>
      </c>
    </row>
    <row r="857" spans="1:8" x14ac:dyDescent="0.3">
      <c r="A857">
        <v>856</v>
      </c>
      <c r="B857" s="1">
        <v>45960</v>
      </c>
      <c r="C857" s="2">
        <v>0.52916666666666667</v>
      </c>
      <c r="D857" t="s">
        <v>8</v>
      </c>
      <c r="E857" t="s">
        <v>9</v>
      </c>
      <c r="F857">
        <v>160</v>
      </c>
      <c r="G857" t="s">
        <v>220</v>
      </c>
      <c r="H857" t="s">
        <v>200</v>
      </c>
    </row>
    <row r="858" spans="1:8" x14ac:dyDescent="0.3">
      <c r="A858">
        <v>857</v>
      </c>
      <c r="B858" s="1">
        <v>45960</v>
      </c>
      <c r="C858" s="2">
        <v>0.61111111111111116</v>
      </c>
      <c r="D858" t="s">
        <v>8</v>
      </c>
      <c r="E858" t="s">
        <v>9</v>
      </c>
      <c r="F858">
        <v>1500</v>
      </c>
      <c r="G858" t="s">
        <v>185</v>
      </c>
      <c r="H858" t="s">
        <v>200</v>
      </c>
    </row>
    <row r="859" spans="1:8" x14ac:dyDescent="0.3">
      <c r="A859">
        <v>858</v>
      </c>
      <c r="B859" s="1">
        <v>45960</v>
      </c>
      <c r="C859" s="2">
        <v>0.65694444444444444</v>
      </c>
      <c r="D859" t="s">
        <v>22</v>
      </c>
      <c r="E859" t="s">
        <v>23</v>
      </c>
      <c r="F859">
        <v>350</v>
      </c>
      <c r="G859" t="s">
        <v>35</v>
      </c>
      <c r="H859" t="s">
        <v>200</v>
      </c>
    </row>
    <row r="860" spans="1:8" x14ac:dyDescent="0.3">
      <c r="A860">
        <v>859</v>
      </c>
      <c r="B860" s="1">
        <v>45960</v>
      </c>
      <c r="C860" s="2">
        <v>0.65833333333333333</v>
      </c>
      <c r="D860" t="s">
        <v>8</v>
      </c>
      <c r="E860" t="s">
        <v>9</v>
      </c>
      <c r="F860">
        <v>200</v>
      </c>
      <c r="G860" t="s">
        <v>221</v>
      </c>
      <c r="H860" t="s">
        <v>200</v>
      </c>
    </row>
    <row r="861" spans="1:8" x14ac:dyDescent="0.3">
      <c r="A861">
        <v>860</v>
      </c>
      <c r="B861" s="1">
        <v>45960</v>
      </c>
      <c r="C861" s="2">
        <v>0.67152777777777772</v>
      </c>
      <c r="D861" t="s">
        <v>16</v>
      </c>
      <c r="E861" t="s">
        <v>9</v>
      </c>
      <c r="F861">
        <v>150</v>
      </c>
      <c r="G861" t="s">
        <v>17</v>
      </c>
      <c r="H861" t="s">
        <v>200</v>
      </c>
    </row>
    <row r="862" spans="1:8" x14ac:dyDescent="0.3">
      <c r="A862">
        <v>861</v>
      </c>
      <c r="B862" s="1">
        <v>45961</v>
      </c>
      <c r="C862" s="2">
        <v>0.83472222222222225</v>
      </c>
      <c r="D862" t="s">
        <v>8</v>
      </c>
      <c r="E862" t="s">
        <v>9</v>
      </c>
      <c r="F862">
        <v>70</v>
      </c>
      <c r="G862" t="s">
        <v>211</v>
      </c>
      <c r="H862" t="s">
        <v>200</v>
      </c>
    </row>
    <row r="863" spans="1:8" x14ac:dyDescent="0.3">
      <c r="A863">
        <v>862</v>
      </c>
      <c r="B863" s="1">
        <v>45962</v>
      </c>
      <c r="C863" s="2">
        <v>4.8611111111111112E-3</v>
      </c>
      <c r="D863" t="s">
        <v>22</v>
      </c>
      <c r="E863" t="s">
        <v>23</v>
      </c>
      <c r="F863">
        <v>1500</v>
      </c>
      <c r="G863" t="s">
        <v>213</v>
      </c>
      <c r="H863" t="s">
        <v>222</v>
      </c>
    </row>
    <row r="864" spans="1:8" x14ac:dyDescent="0.3">
      <c r="A864">
        <v>863</v>
      </c>
      <c r="B864" s="1">
        <v>45962</v>
      </c>
      <c r="C864" s="2">
        <v>9.0277777777777769E-3</v>
      </c>
      <c r="D864" t="s">
        <v>8</v>
      </c>
      <c r="E864" t="s">
        <v>9</v>
      </c>
      <c r="F864">
        <v>1500</v>
      </c>
      <c r="G864" t="s">
        <v>74</v>
      </c>
      <c r="H864" t="s">
        <v>222</v>
      </c>
    </row>
    <row r="865" spans="1:8" x14ac:dyDescent="0.3">
      <c r="A865">
        <v>864</v>
      </c>
      <c r="B865" s="1">
        <v>45962</v>
      </c>
      <c r="C865" s="2">
        <v>1.1111111111111112E-2</v>
      </c>
      <c r="D865" t="s">
        <v>8</v>
      </c>
      <c r="E865" t="s">
        <v>9</v>
      </c>
      <c r="F865">
        <v>500</v>
      </c>
      <c r="G865" t="s">
        <v>74</v>
      </c>
      <c r="H865" t="s">
        <v>222</v>
      </c>
    </row>
    <row r="866" spans="1:8" x14ac:dyDescent="0.3">
      <c r="A866">
        <v>865</v>
      </c>
      <c r="B866" s="1">
        <v>45962</v>
      </c>
      <c r="C866" s="2">
        <v>0.80833333333333335</v>
      </c>
      <c r="D866" t="s">
        <v>38</v>
      </c>
      <c r="E866" t="s">
        <v>9</v>
      </c>
      <c r="F866">
        <v>450</v>
      </c>
      <c r="G866" t="s">
        <v>205</v>
      </c>
      <c r="H866" t="s">
        <v>222</v>
      </c>
    </row>
    <row r="867" spans="1:8" x14ac:dyDescent="0.3">
      <c r="A867">
        <v>866</v>
      </c>
      <c r="B867" s="1">
        <v>45962</v>
      </c>
      <c r="C867" s="2">
        <v>0.80833333333333335</v>
      </c>
      <c r="D867" t="s">
        <v>8</v>
      </c>
      <c r="E867" t="s">
        <v>9</v>
      </c>
      <c r="F867">
        <v>300</v>
      </c>
      <c r="G867" t="s">
        <v>20</v>
      </c>
      <c r="H867" t="s">
        <v>222</v>
      </c>
    </row>
    <row r="868" spans="1:8" x14ac:dyDescent="0.3">
      <c r="A868">
        <v>867</v>
      </c>
      <c r="B868" s="1">
        <v>45962</v>
      </c>
      <c r="C868" s="2">
        <v>0.87361111111111112</v>
      </c>
      <c r="D868" t="s">
        <v>8</v>
      </c>
      <c r="E868" t="s">
        <v>9</v>
      </c>
      <c r="F868">
        <v>14</v>
      </c>
      <c r="G868" t="s">
        <v>166</v>
      </c>
      <c r="H868" t="s">
        <v>222</v>
      </c>
    </row>
    <row r="869" spans="1:8" x14ac:dyDescent="0.3">
      <c r="A869">
        <v>868</v>
      </c>
      <c r="B869" s="1">
        <v>45962</v>
      </c>
      <c r="C869" s="2">
        <v>0.94305555555555554</v>
      </c>
      <c r="D869" t="s">
        <v>22</v>
      </c>
      <c r="E869" t="s">
        <v>23</v>
      </c>
      <c r="F869">
        <v>500</v>
      </c>
      <c r="G869" t="s">
        <v>223</v>
      </c>
      <c r="H869" t="s">
        <v>222</v>
      </c>
    </row>
    <row r="870" spans="1:8" x14ac:dyDescent="0.3">
      <c r="A870">
        <v>869</v>
      </c>
      <c r="B870" s="1">
        <v>45963</v>
      </c>
      <c r="C870" s="2">
        <v>0.52986111111111112</v>
      </c>
      <c r="D870" t="s">
        <v>8</v>
      </c>
      <c r="E870" t="s">
        <v>9</v>
      </c>
      <c r="F870">
        <v>100</v>
      </c>
      <c r="G870" t="s">
        <v>35</v>
      </c>
      <c r="H870" t="s">
        <v>222</v>
      </c>
    </row>
    <row r="871" spans="1:8" x14ac:dyDescent="0.3">
      <c r="A871">
        <v>870</v>
      </c>
      <c r="B871" s="1">
        <v>45963</v>
      </c>
      <c r="C871" s="2">
        <v>0.53055555555555556</v>
      </c>
      <c r="D871" t="s">
        <v>22</v>
      </c>
      <c r="E871" t="s">
        <v>23</v>
      </c>
      <c r="F871">
        <v>100</v>
      </c>
      <c r="G871" t="s">
        <v>35</v>
      </c>
      <c r="H871" t="s">
        <v>222</v>
      </c>
    </row>
    <row r="872" spans="1:8" x14ac:dyDescent="0.3">
      <c r="A872">
        <v>871</v>
      </c>
      <c r="B872" s="1">
        <v>45963</v>
      </c>
      <c r="C872" s="2">
        <v>0.56805555555555554</v>
      </c>
      <c r="D872" t="s">
        <v>49</v>
      </c>
      <c r="E872" t="s">
        <v>23</v>
      </c>
      <c r="F872">
        <v>183</v>
      </c>
      <c r="G872" t="s">
        <v>144</v>
      </c>
      <c r="H872" t="s">
        <v>222</v>
      </c>
    </row>
    <row r="873" spans="1:8" x14ac:dyDescent="0.3">
      <c r="A873">
        <v>872</v>
      </c>
      <c r="B873" s="1">
        <v>45963</v>
      </c>
      <c r="C873" s="2">
        <v>0.56805555555555554</v>
      </c>
      <c r="D873" t="s">
        <v>49</v>
      </c>
      <c r="E873" t="s">
        <v>23</v>
      </c>
      <c r="F873">
        <v>183</v>
      </c>
      <c r="G873" t="s">
        <v>145</v>
      </c>
      <c r="H873" t="s">
        <v>222</v>
      </c>
    </row>
    <row r="874" spans="1:8" x14ac:dyDescent="0.3">
      <c r="A874">
        <v>873</v>
      </c>
      <c r="B874" s="1">
        <v>45964</v>
      </c>
      <c r="C874" s="2">
        <v>0.8666666666666667</v>
      </c>
      <c r="D874" t="s">
        <v>38</v>
      </c>
      <c r="E874" t="s">
        <v>9</v>
      </c>
      <c r="F874">
        <v>15</v>
      </c>
      <c r="G874" t="s">
        <v>205</v>
      </c>
      <c r="H874" t="s">
        <v>222</v>
      </c>
    </row>
    <row r="875" spans="1:8" x14ac:dyDescent="0.3">
      <c r="A875">
        <v>874</v>
      </c>
      <c r="B875" s="1">
        <v>45965</v>
      </c>
      <c r="C875" s="2">
        <v>0.32013888888888886</v>
      </c>
      <c r="D875" t="s">
        <v>22</v>
      </c>
      <c r="E875" t="s">
        <v>23</v>
      </c>
      <c r="F875">
        <v>500</v>
      </c>
      <c r="G875" t="s">
        <v>217</v>
      </c>
      <c r="H875" t="s">
        <v>222</v>
      </c>
    </row>
    <row r="876" spans="1:8" x14ac:dyDescent="0.3">
      <c r="A876">
        <v>875</v>
      </c>
      <c r="B876" s="1">
        <v>45965</v>
      </c>
      <c r="C876" s="2">
        <v>0.3611111111111111</v>
      </c>
      <c r="D876" t="s">
        <v>8</v>
      </c>
      <c r="E876" t="s">
        <v>9</v>
      </c>
      <c r="F876">
        <v>500</v>
      </c>
      <c r="G876" t="s">
        <v>217</v>
      </c>
      <c r="H876" t="s">
        <v>222</v>
      </c>
    </row>
    <row r="877" spans="1:8" x14ac:dyDescent="0.3">
      <c r="A877">
        <v>876</v>
      </c>
      <c r="B877" s="1">
        <v>45965</v>
      </c>
      <c r="C877" s="2">
        <v>0.38194444444444442</v>
      </c>
      <c r="D877" t="s">
        <v>22</v>
      </c>
      <c r="E877" t="s">
        <v>23</v>
      </c>
      <c r="F877">
        <v>500</v>
      </c>
      <c r="G877" t="s">
        <v>217</v>
      </c>
      <c r="H877" t="s">
        <v>222</v>
      </c>
    </row>
    <row r="878" spans="1:8" x14ac:dyDescent="0.3">
      <c r="A878">
        <v>877</v>
      </c>
      <c r="B878" s="1">
        <v>45965</v>
      </c>
      <c r="C878" s="2">
        <v>0.39583333333333331</v>
      </c>
      <c r="D878" t="s">
        <v>8</v>
      </c>
      <c r="E878" t="s">
        <v>9</v>
      </c>
      <c r="F878">
        <v>500</v>
      </c>
      <c r="G878" t="s">
        <v>74</v>
      </c>
      <c r="H878" t="s">
        <v>222</v>
      </c>
    </row>
    <row r="879" spans="1:8" x14ac:dyDescent="0.3">
      <c r="A879">
        <v>878</v>
      </c>
      <c r="B879" s="1">
        <v>45965</v>
      </c>
      <c r="C879" s="2">
        <v>0.41319444444444442</v>
      </c>
      <c r="D879" t="s">
        <v>8</v>
      </c>
      <c r="E879" t="s">
        <v>9</v>
      </c>
      <c r="F879">
        <v>12</v>
      </c>
      <c r="G879" t="s">
        <v>24</v>
      </c>
      <c r="H879" t="s">
        <v>222</v>
      </c>
    </row>
    <row r="880" spans="1:8" x14ac:dyDescent="0.3">
      <c r="A880">
        <v>879</v>
      </c>
      <c r="B880" s="1">
        <v>45965</v>
      </c>
      <c r="C880" s="2">
        <v>0.42986111111111114</v>
      </c>
      <c r="D880" t="s">
        <v>8</v>
      </c>
      <c r="E880" t="s">
        <v>9</v>
      </c>
      <c r="F880">
        <v>2</v>
      </c>
      <c r="G880" t="s">
        <v>24</v>
      </c>
      <c r="H880" t="s">
        <v>222</v>
      </c>
    </row>
    <row r="881" spans="1:8" x14ac:dyDescent="0.3">
      <c r="A881">
        <v>880</v>
      </c>
      <c r="B881" s="1">
        <v>45966</v>
      </c>
      <c r="C881" s="2">
        <v>3.8194444444444448E-2</v>
      </c>
      <c r="D881" t="s">
        <v>22</v>
      </c>
      <c r="E881" t="s">
        <v>23</v>
      </c>
      <c r="F881">
        <v>501.3</v>
      </c>
      <c r="G881" t="s">
        <v>212</v>
      </c>
      <c r="H881" t="s">
        <v>222</v>
      </c>
    </row>
    <row r="882" spans="1:8" x14ac:dyDescent="0.3">
      <c r="A882">
        <v>881</v>
      </c>
      <c r="B882" s="1">
        <v>45966</v>
      </c>
      <c r="C882" s="2">
        <v>0.51875000000000004</v>
      </c>
      <c r="D882" t="s">
        <v>22</v>
      </c>
      <c r="E882" t="s">
        <v>23</v>
      </c>
      <c r="F882">
        <v>1000</v>
      </c>
      <c r="G882" t="s">
        <v>213</v>
      </c>
      <c r="H882" t="s">
        <v>222</v>
      </c>
    </row>
    <row r="883" spans="1:8" x14ac:dyDescent="0.3">
      <c r="A883">
        <v>882</v>
      </c>
      <c r="B883" s="1">
        <v>45966</v>
      </c>
      <c r="C883" s="2">
        <v>0.56666666666666665</v>
      </c>
      <c r="D883" t="s">
        <v>22</v>
      </c>
      <c r="E883" t="s">
        <v>23</v>
      </c>
      <c r="F883">
        <v>200</v>
      </c>
      <c r="G883" t="s">
        <v>12</v>
      </c>
      <c r="H883" t="s">
        <v>222</v>
      </c>
    </row>
    <row r="884" spans="1:8" x14ac:dyDescent="0.3">
      <c r="A884">
        <v>883</v>
      </c>
      <c r="B884" s="1">
        <v>45966</v>
      </c>
      <c r="C884" s="2">
        <v>0.56805555555555554</v>
      </c>
      <c r="D884" t="s">
        <v>8</v>
      </c>
      <c r="E884" t="s">
        <v>9</v>
      </c>
      <c r="F884">
        <v>1183.06</v>
      </c>
      <c r="G884" t="s">
        <v>224</v>
      </c>
      <c r="H884" t="s">
        <v>222</v>
      </c>
    </row>
    <row r="885" spans="1:8" x14ac:dyDescent="0.3">
      <c r="A885">
        <v>884</v>
      </c>
      <c r="B885" s="1">
        <v>45966</v>
      </c>
      <c r="C885" s="2">
        <v>0.59722222222222221</v>
      </c>
      <c r="D885" t="s">
        <v>22</v>
      </c>
      <c r="E885" t="s">
        <v>23</v>
      </c>
      <c r="F885">
        <v>985</v>
      </c>
      <c r="G885" t="s">
        <v>12</v>
      </c>
      <c r="H885" t="s">
        <v>222</v>
      </c>
    </row>
    <row r="886" spans="1:8" x14ac:dyDescent="0.3">
      <c r="A886">
        <v>885</v>
      </c>
      <c r="B886" s="1">
        <v>45966</v>
      </c>
      <c r="C886" s="2">
        <v>0.59722222222222221</v>
      </c>
      <c r="D886" t="s">
        <v>8</v>
      </c>
      <c r="E886" t="s">
        <v>9</v>
      </c>
      <c r="F886">
        <v>1000</v>
      </c>
      <c r="G886" t="s">
        <v>213</v>
      </c>
      <c r="H886" t="s">
        <v>222</v>
      </c>
    </row>
    <row r="887" spans="1:8" x14ac:dyDescent="0.3">
      <c r="A887">
        <v>886</v>
      </c>
      <c r="B887" s="1">
        <v>45966</v>
      </c>
      <c r="C887" s="2">
        <v>0.62847222222222221</v>
      </c>
      <c r="D887" t="s">
        <v>8</v>
      </c>
      <c r="E887" t="s">
        <v>9</v>
      </c>
      <c r="F887">
        <v>25</v>
      </c>
      <c r="G887" t="s">
        <v>35</v>
      </c>
      <c r="H887" t="s">
        <v>222</v>
      </c>
    </row>
    <row r="888" spans="1:8" x14ac:dyDescent="0.3">
      <c r="A888">
        <v>887</v>
      </c>
      <c r="B888" s="1">
        <v>45968</v>
      </c>
      <c r="C888" s="2">
        <v>0.57638888888888884</v>
      </c>
      <c r="D888" t="s">
        <v>22</v>
      </c>
      <c r="E888" t="s">
        <v>23</v>
      </c>
      <c r="F888">
        <v>2000</v>
      </c>
      <c r="G888" t="s">
        <v>59</v>
      </c>
      <c r="H888" t="s">
        <v>222</v>
      </c>
    </row>
    <row r="889" spans="1:8" x14ac:dyDescent="0.3">
      <c r="A889">
        <v>888</v>
      </c>
      <c r="B889" s="1">
        <v>45968</v>
      </c>
      <c r="C889" s="2">
        <v>0.57916666666666672</v>
      </c>
      <c r="D889" t="s">
        <v>8</v>
      </c>
      <c r="E889" t="s">
        <v>9</v>
      </c>
      <c r="F889">
        <v>2000</v>
      </c>
      <c r="G889" t="s">
        <v>225</v>
      </c>
      <c r="H889" t="s">
        <v>222</v>
      </c>
    </row>
    <row r="890" spans="1:8" x14ac:dyDescent="0.3">
      <c r="A890">
        <v>889</v>
      </c>
      <c r="B890" s="1">
        <v>45969</v>
      </c>
      <c r="C890" s="2">
        <v>0.81944444444444442</v>
      </c>
      <c r="D890" t="s">
        <v>8</v>
      </c>
      <c r="E890" t="s">
        <v>9</v>
      </c>
      <c r="F890">
        <v>500</v>
      </c>
      <c r="G890" t="s">
        <v>30</v>
      </c>
      <c r="H890" t="s">
        <v>222</v>
      </c>
    </row>
    <row r="891" spans="1:8" x14ac:dyDescent="0.3">
      <c r="A891">
        <v>890</v>
      </c>
      <c r="B891" s="1">
        <v>45970</v>
      </c>
      <c r="C891" s="2">
        <v>0.60972222222222228</v>
      </c>
      <c r="D891" t="s">
        <v>22</v>
      </c>
      <c r="E891" t="s">
        <v>23</v>
      </c>
      <c r="F891">
        <v>2000</v>
      </c>
      <c r="G891" t="s">
        <v>68</v>
      </c>
      <c r="H891" t="s">
        <v>222</v>
      </c>
    </row>
    <row r="892" spans="1:8" x14ac:dyDescent="0.3">
      <c r="A892">
        <v>891</v>
      </c>
      <c r="B892" s="1">
        <v>45970</v>
      </c>
      <c r="C892" s="2">
        <v>0.63958333333333328</v>
      </c>
      <c r="D892" t="s">
        <v>8</v>
      </c>
      <c r="E892" t="s">
        <v>9</v>
      </c>
      <c r="F892">
        <v>2000</v>
      </c>
      <c r="G892" t="s">
        <v>225</v>
      </c>
      <c r="H892" t="s">
        <v>222</v>
      </c>
    </row>
    <row r="893" spans="1:8" x14ac:dyDescent="0.3">
      <c r="A893">
        <v>892</v>
      </c>
      <c r="B893" s="1">
        <v>45970</v>
      </c>
      <c r="C893" s="2">
        <v>0.6694444444444444</v>
      </c>
      <c r="D893" t="s">
        <v>22</v>
      </c>
      <c r="E893" t="s">
        <v>23</v>
      </c>
      <c r="F893">
        <v>500</v>
      </c>
      <c r="G893" t="s">
        <v>68</v>
      </c>
      <c r="H893" t="s">
        <v>222</v>
      </c>
    </row>
    <row r="894" spans="1:8" x14ac:dyDescent="0.3">
      <c r="A894">
        <v>893</v>
      </c>
      <c r="B894" s="1">
        <v>45970</v>
      </c>
      <c r="C894" s="2">
        <v>0.68541666666666667</v>
      </c>
      <c r="D894" t="s">
        <v>8</v>
      </c>
      <c r="E894" t="s">
        <v>9</v>
      </c>
      <c r="F894">
        <v>500</v>
      </c>
      <c r="G894" t="s">
        <v>203</v>
      </c>
      <c r="H894" t="s">
        <v>222</v>
      </c>
    </row>
    <row r="895" spans="1:8" x14ac:dyDescent="0.3">
      <c r="A895">
        <v>894</v>
      </c>
      <c r="B895" s="1">
        <v>45970</v>
      </c>
      <c r="C895" s="2">
        <v>0.83750000000000002</v>
      </c>
      <c r="D895" t="s">
        <v>22</v>
      </c>
      <c r="E895" t="s">
        <v>23</v>
      </c>
      <c r="F895">
        <v>150</v>
      </c>
      <c r="G895" t="s">
        <v>184</v>
      </c>
      <c r="H895" t="s">
        <v>222</v>
      </c>
    </row>
    <row r="896" spans="1:8" x14ac:dyDescent="0.3">
      <c r="A896">
        <v>895</v>
      </c>
      <c r="B896" s="1">
        <v>45970</v>
      </c>
      <c r="C896" s="2">
        <v>0.87152777777777779</v>
      </c>
      <c r="D896" t="s">
        <v>8</v>
      </c>
      <c r="E896" t="s">
        <v>9</v>
      </c>
      <c r="F896">
        <v>150</v>
      </c>
      <c r="G896" t="s">
        <v>203</v>
      </c>
      <c r="H896" t="s">
        <v>222</v>
      </c>
    </row>
    <row r="897" spans="1:8" x14ac:dyDescent="0.3">
      <c r="A897">
        <v>896</v>
      </c>
      <c r="B897" s="1">
        <v>45971</v>
      </c>
      <c r="C897" s="2">
        <v>0.5625</v>
      </c>
      <c r="D897" t="s">
        <v>8</v>
      </c>
      <c r="E897" t="s">
        <v>9</v>
      </c>
      <c r="F897">
        <v>50</v>
      </c>
      <c r="G897" t="s">
        <v>226</v>
      </c>
      <c r="H897" t="s">
        <v>222</v>
      </c>
    </row>
    <row r="898" spans="1:8" x14ac:dyDescent="0.3">
      <c r="A898">
        <v>897</v>
      </c>
      <c r="B898" s="1">
        <v>45971</v>
      </c>
      <c r="C898" s="2">
        <v>0.5708333333333333</v>
      </c>
      <c r="D898" t="s">
        <v>22</v>
      </c>
      <c r="E898" t="s">
        <v>23</v>
      </c>
      <c r="F898">
        <v>1017.55</v>
      </c>
      <c r="G898" t="s">
        <v>218</v>
      </c>
      <c r="H898" t="s">
        <v>222</v>
      </c>
    </row>
    <row r="899" spans="1:8" x14ac:dyDescent="0.3">
      <c r="A899">
        <v>898</v>
      </c>
      <c r="B899" s="1">
        <v>45971</v>
      </c>
      <c r="C899" s="2">
        <v>0.8354166666666667</v>
      </c>
      <c r="D899" t="s">
        <v>22</v>
      </c>
      <c r="E899" t="s">
        <v>23</v>
      </c>
      <c r="F899">
        <v>200</v>
      </c>
      <c r="G899" t="s">
        <v>30</v>
      </c>
      <c r="H899" t="s">
        <v>222</v>
      </c>
    </row>
    <row r="900" spans="1:8" x14ac:dyDescent="0.3">
      <c r="A900">
        <v>899</v>
      </c>
      <c r="B900" s="1">
        <v>45972</v>
      </c>
      <c r="C900" s="2">
        <v>0.53749999999999998</v>
      </c>
      <c r="D900" t="s">
        <v>8</v>
      </c>
      <c r="E900" t="s">
        <v>9</v>
      </c>
      <c r="F900">
        <v>606</v>
      </c>
      <c r="G900" t="s">
        <v>227</v>
      </c>
      <c r="H900" t="s">
        <v>222</v>
      </c>
    </row>
    <row r="901" spans="1:8" x14ac:dyDescent="0.3">
      <c r="A901">
        <v>900</v>
      </c>
      <c r="B901" s="1">
        <v>45972</v>
      </c>
      <c r="C901" s="2">
        <v>0.57638888888888884</v>
      </c>
      <c r="D901" t="s">
        <v>22</v>
      </c>
      <c r="E901" t="s">
        <v>23</v>
      </c>
      <c r="F901">
        <v>1500</v>
      </c>
      <c r="G901" t="s">
        <v>68</v>
      </c>
      <c r="H901" t="s">
        <v>222</v>
      </c>
    </row>
    <row r="902" spans="1:8" x14ac:dyDescent="0.3">
      <c r="A902">
        <v>901</v>
      </c>
      <c r="B902" s="1">
        <v>45972</v>
      </c>
      <c r="C902" s="2">
        <v>0.96736111111111112</v>
      </c>
      <c r="D902" t="s">
        <v>22</v>
      </c>
      <c r="E902" t="s">
        <v>23</v>
      </c>
      <c r="F902">
        <v>129.06</v>
      </c>
      <c r="G902" t="s">
        <v>218</v>
      </c>
      <c r="H902" t="s">
        <v>222</v>
      </c>
    </row>
    <row r="903" spans="1:8" x14ac:dyDescent="0.3">
      <c r="A903">
        <v>902</v>
      </c>
      <c r="B903" s="1">
        <v>45973</v>
      </c>
      <c r="C903" s="2">
        <v>0.57847222222222228</v>
      </c>
      <c r="D903" t="s">
        <v>22</v>
      </c>
      <c r="E903" t="s">
        <v>23</v>
      </c>
      <c r="F903">
        <v>101</v>
      </c>
      <c r="G903" t="s">
        <v>30</v>
      </c>
      <c r="H903" t="s">
        <v>222</v>
      </c>
    </row>
    <row r="904" spans="1:8" x14ac:dyDescent="0.3">
      <c r="A904">
        <v>903</v>
      </c>
      <c r="B904" s="1">
        <v>45974</v>
      </c>
      <c r="C904" s="2">
        <v>0.84097222222222223</v>
      </c>
      <c r="D904" t="s">
        <v>8</v>
      </c>
      <c r="E904" t="s">
        <v>9</v>
      </c>
      <c r="F904">
        <v>3500</v>
      </c>
      <c r="G904" t="s">
        <v>101</v>
      </c>
      <c r="H904" t="s">
        <v>222</v>
      </c>
    </row>
    <row r="905" spans="1:8" x14ac:dyDescent="0.3">
      <c r="A905">
        <v>904</v>
      </c>
      <c r="B905" s="1">
        <v>45975</v>
      </c>
      <c r="C905" s="2">
        <v>0.67152777777777772</v>
      </c>
      <c r="D905" t="s">
        <v>22</v>
      </c>
      <c r="E905" t="s">
        <v>23</v>
      </c>
      <c r="F905">
        <v>10000</v>
      </c>
      <c r="G905" t="s">
        <v>68</v>
      </c>
      <c r="H905" t="s">
        <v>222</v>
      </c>
    </row>
    <row r="906" spans="1:8" x14ac:dyDescent="0.3">
      <c r="A906">
        <v>905</v>
      </c>
      <c r="B906" s="1">
        <v>45975</v>
      </c>
      <c r="C906" s="2">
        <v>0.69027777777777777</v>
      </c>
      <c r="D906" t="s">
        <v>8</v>
      </c>
      <c r="E906" t="s">
        <v>9</v>
      </c>
      <c r="F906">
        <v>9000</v>
      </c>
      <c r="G906" t="s">
        <v>68</v>
      </c>
      <c r="H906" t="s">
        <v>222</v>
      </c>
    </row>
    <row r="907" spans="1:8" x14ac:dyDescent="0.3">
      <c r="A907">
        <v>906</v>
      </c>
      <c r="B907" s="1">
        <v>45975</v>
      </c>
      <c r="C907" s="2">
        <v>0.69027777777777777</v>
      </c>
      <c r="D907" t="s">
        <v>8</v>
      </c>
      <c r="E907" t="s">
        <v>9</v>
      </c>
      <c r="F907">
        <v>1000</v>
      </c>
      <c r="G907" t="s">
        <v>68</v>
      </c>
      <c r="H907" t="s">
        <v>222</v>
      </c>
    </row>
    <row r="908" spans="1:8" x14ac:dyDescent="0.3">
      <c r="A908">
        <v>907</v>
      </c>
      <c r="B908" s="1">
        <v>45976</v>
      </c>
      <c r="C908" s="2">
        <v>0.45</v>
      </c>
      <c r="D908" t="s">
        <v>8</v>
      </c>
      <c r="E908" t="s">
        <v>9</v>
      </c>
      <c r="F908">
        <v>20</v>
      </c>
      <c r="G908" t="s">
        <v>228</v>
      </c>
      <c r="H908" t="s">
        <v>222</v>
      </c>
    </row>
    <row r="909" spans="1:8" x14ac:dyDescent="0.3">
      <c r="A909">
        <v>908</v>
      </c>
      <c r="B909" s="1">
        <v>45976</v>
      </c>
      <c r="C909" s="2">
        <v>0.46666666666666667</v>
      </c>
      <c r="D909" t="s">
        <v>8</v>
      </c>
      <c r="E909" t="s">
        <v>9</v>
      </c>
      <c r="F909">
        <v>100</v>
      </c>
      <c r="G909" t="s">
        <v>229</v>
      </c>
      <c r="H909" t="s">
        <v>222</v>
      </c>
    </row>
    <row r="910" spans="1:8" x14ac:dyDescent="0.3">
      <c r="A910">
        <v>909</v>
      </c>
      <c r="B910" s="1">
        <v>45976</v>
      </c>
      <c r="C910" s="2">
        <v>0.69097222222222221</v>
      </c>
      <c r="D910" t="s">
        <v>8</v>
      </c>
      <c r="E910" t="s">
        <v>9</v>
      </c>
      <c r="F910">
        <v>60</v>
      </c>
      <c r="G910" t="s">
        <v>228</v>
      </c>
      <c r="H910" t="s">
        <v>222</v>
      </c>
    </row>
    <row r="911" spans="1:8" x14ac:dyDescent="0.3">
      <c r="A911">
        <v>910</v>
      </c>
      <c r="B911" s="1">
        <v>45977</v>
      </c>
      <c r="C911" s="2">
        <v>0.42708333333333331</v>
      </c>
      <c r="D911" t="s">
        <v>8</v>
      </c>
      <c r="E911" t="s">
        <v>9</v>
      </c>
      <c r="F911">
        <v>1000</v>
      </c>
      <c r="G911" t="s">
        <v>230</v>
      </c>
      <c r="H911" t="s">
        <v>222</v>
      </c>
    </row>
    <row r="912" spans="1:8" x14ac:dyDescent="0.3">
      <c r="A912">
        <v>911</v>
      </c>
      <c r="B912" s="1">
        <v>45978</v>
      </c>
      <c r="C912" s="2">
        <v>0.4861111111111111</v>
      </c>
      <c r="D912" t="s">
        <v>8</v>
      </c>
      <c r="E912" t="s">
        <v>9</v>
      </c>
      <c r="F912">
        <v>100</v>
      </c>
      <c r="G912" t="s">
        <v>231</v>
      </c>
      <c r="H912" t="s">
        <v>222</v>
      </c>
    </row>
    <row r="913" spans="1:8" x14ac:dyDescent="0.3">
      <c r="A913">
        <v>912</v>
      </c>
      <c r="B913" s="1">
        <v>45978</v>
      </c>
      <c r="C913" s="2">
        <v>0.7895833333333333</v>
      </c>
      <c r="D913" t="s">
        <v>8</v>
      </c>
      <c r="E913" t="s">
        <v>9</v>
      </c>
      <c r="F913">
        <v>1000</v>
      </c>
      <c r="G913" t="s">
        <v>68</v>
      </c>
      <c r="H913" t="s">
        <v>222</v>
      </c>
    </row>
    <row r="914" spans="1:8" x14ac:dyDescent="0.3">
      <c r="A914">
        <v>913</v>
      </c>
      <c r="B914" s="1">
        <v>45978</v>
      </c>
      <c r="C914" s="2">
        <v>0.79166666666666663</v>
      </c>
      <c r="D914" t="s">
        <v>22</v>
      </c>
      <c r="E914" t="s">
        <v>23</v>
      </c>
      <c r="F914">
        <v>1000</v>
      </c>
      <c r="G914" t="s">
        <v>68</v>
      </c>
      <c r="H914" t="s">
        <v>222</v>
      </c>
    </row>
    <row r="915" spans="1:8" x14ac:dyDescent="0.3">
      <c r="A915">
        <v>914</v>
      </c>
      <c r="B915" s="1">
        <v>45978</v>
      </c>
      <c r="C915" s="2">
        <v>0.95694444444444449</v>
      </c>
      <c r="D915" t="s">
        <v>8</v>
      </c>
      <c r="E915" t="s">
        <v>9</v>
      </c>
      <c r="F915">
        <v>1000</v>
      </c>
      <c r="G915" t="s">
        <v>68</v>
      </c>
      <c r="H915" t="s">
        <v>222</v>
      </c>
    </row>
    <row r="916" spans="1:8" x14ac:dyDescent="0.3">
      <c r="A916">
        <v>915</v>
      </c>
      <c r="B916" s="1">
        <v>45979</v>
      </c>
      <c r="C916" s="2">
        <v>0.3840277777777778</v>
      </c>
      <c r="D916" t="s">
        <v>22</v>
      </c>
      <c r="E916" t="s">
        <v>23</v>
      </c>
      <c r="F916">
        <v>1000</v>
      </c>
      <c r="G916" t="s">
        <v>68</v>
      </c>
      <c r="H916" t="s">
        <v>222</v>
      </c>
    </row>
    <row r="917" spans="1:8" x14ac:dyDescent="0.3">
      <c r="A917">
        <v>916</v>
      </c>
      <c r="B917" s="1">
        <v>45979</v>
      </c>
      <c r="C917" s="2">
        <v>0.78402777777777777</v>
      </c>
      <c r="D917" t="s">
        <v>8</v>
      </c>
      <c r="E917" t="s">
        <v>9</v>
      </c>
      <c r="F917">
        <v>1000</v>
      </c>
      <c r="G917" t="s">
        <v>68</v>
      </c>
      <c r="H917" t="s">
        <v>222</v>
      </c>
    </row>
    <row r="918" spans="1:8" x14ac:dyDescent="0.3">
      <c r="A918">
        <v>917</v>
      </c>
      <c r="B918" s="1">
        <v>45979</v>
      </c>
      <c r="C918" s="2">
        <v>0.91874999999999996</v>
      </c>
      <c r="D918" t="s">
        <v>22</v>
      </c>
      <c r="E918" t="s">
        <v>23</v>
      </c>
      <c r="F918">
        <v>1</v>
      </c>
      <c r="G918" t="s">
        <v>232</v>
      </c>
      <c r="H918" t="s">
        <v>222</v>
      </c>
    </row>
    <row r="919" spans="1:8" x14ac:dyDescent="0.3">
      <c r="A919">
        <v>918</v>
      </c>
      <c r="B919" s="1">
        <v>45979</v>
      </c>
      <c r="C919" s="2">
        <v>0.92152777777777772</v>
      </c>
      <c r="D919" t="s">
        <v>22</v>
      </c>
      <c r="E919" t="s">
        <v>23</v>
      </c>
      <c r="F919">
        <v>1</v>
      </c>
      <c r="G919" t="s">
        <v>232</v>
      </c>
      <c r="H919" t="s">
        <v>222</v>
      </c>
    </row>
    <row r="920" spans="1:8" x14ac:dyDescent="0.3">
      <c r="A920">
        <v>919</v>
      </c>
      <c r="B920" s="1">
        <v>45979</v>
      </c>
      <c r="C920" s="2">
        <v>0.92361111111111116</v>
      </c>
      <c r="D920" t="s">
        <v>22</v>
      </c>
      <c r="E920" t="s">
        <v>23</v>
      </c>
      <c r="F920">
        <v>1000</v>
      </c>
      <c r="G920" t="s">
        <v>232</v>
      </c>
      <c r="H920" t="s">
        <v>222</v>
      </c>
    </row>
    <row r="921" spans="1:8" x14ac:dyDescent="0.3">
      <c r="A921">
        <v>920</v>
      </c>
      <c r="B921" s="1">
        <v>45980</v>
      </c>
      <c r="C921" s="2">
        <v>0.46388888888888891</v>
      </c>
      <c r="D921" t="s">
        <v>8</v>
      </c>
      <c r="E921" t="s">
        <v>9</v>
      </c>
      <c r="F921">
        <v>40</v>
      </c>
      <c r="G921" t="s">
        <v>233</v>
      </c>
      <c r="H921" t="s">
        <v>222</v>
      </c>
    </row>
    <row r="922" spans="1:8" x14ac:dyDescent="0.3">
      <c r="A922">
        <v>921</v>
      </c>
      <c r="B922" s="1">
        <v>45980</v>
      </c>
      <c r="C922" s="2">
        <v>0.98055555555555551</v>
      </c>
      <c r="D922" t="s">
        <v>22</v>
      </c>
      <c r="E922" t="s">
        <v>23</v>
      </c>
      <c r="F922">
        <v>534.96</v>
      </c>
      <c r="G922" t="s">
        <v>212</v>
      </c>
      <c r="H922" t="s">
        <v>222</v>
      </c>
    </row>
    <row r="923" spans="1:8" x14ac:dyDescent="0.3">
      <c r="A923">
        <v>922</v>
      </c>
      <c r="B923" s="1">
        <v>45981</v>
      </c>
      <c r="C923" s="2">
        <v>0.72986111111111107</v>
      </c>
      <c r="D923" t="s">
        <v>38</v>
      </c>
      <c r="E923" t="s">
        <v>9</v>
      </c>
      <c r="F923">
        <v>180</v>
      </c>
      <c r="G923" t="s">
        <v>205</v>
      </c>
      <c r="H923" t="s">
        <v>222</v>
      </c>
    </row>
    <row r="924" spans="1:8" x14ac:dyDescent="0.3">
      <c r="A924">
        <v>923</v>
      </c>
      <c r="B924" s="1">
        <v>45981</v>
      </c>
      <c r="C924" s="2">
        <v>0.73333333333333328</v>
      </c>
      <c r="D924" t="s">
        <v>22</v>
      </c>
      <c r="E924" t="s">
        <v>23</v>
      </c>
      <c r="F924">
        <v>200</v>
      </c>
      <c r="G924" t="s">
        <v>30</v>
      </c>
      <c r="H924" t="s">
        <v>222</v>
      </c>
    </row>
    <row r="925" spans="1:8" x14ac:dyDescent="0.3">
      <c r="A925">
        <v>924</v>
      </c>
      <c r="B925" s="1">
        <v>45982</v>
      </c>
      <c r="C925" s="2">
        <v>0.57847222222222228</v>
      </c>
      <c r="D925" t="s">
        <v>8</v>
      </c>
      <c r="E925" t="s">
        <v>9</v>
      </c>
      <c r="F925">
        <v>60</v>
      </c>
      <c r="G925" t="s">
        <v>137</v>
      </c>
      <c r="H925" t="s">
        <v>222</v>
      </c>
    </row>
    <row r="926" spans="1:8" x14ac:dyDescent="0.3">
      <c r="A926">
        <v>925</v>
      </c>
      <c r="B926" s="1">
        <v>45983</v>
      </c>
      <c r="C926" s="2">
        <v>0.40138888888888891</v>
      </c>
      <c r="D926" t="s">
        <v>8</v>
      </c>
      <c r="E926" t="s">
        <v>9</v>
      </c>
      <c r="F926">
        <v>9</v>
      </c>
      <c r="G926" t="s">
        <v>211</v>
      </c>
      <c r="H926" t="s">
        <v>222</v>
      </c>
    </row>
    <row r="927" spans="1:8" x14ac:dyDescent="0.3">
      <c r="A927">
        <v>926</v>
      </c>
      <c r="B927" s="1">
        <v>45986</v>
      </c>
      <c r="C927" s="2">
        <v>0.6694444444444444</v>
      </c>
      <c r="D927" t="s">
        <v>8</v>
      </c>
      <c r="E927" t="s">
        <v>9</v>
      </c>
      <c r="F927">
        <v>100</v>
      </c>
      <c r="G927" t="s">
        <v>68</v>
      </c>
      <c r="H927" t="s">
        <v>222</v>
      </c>
    </row>
    <row r="928" spans="1:8" x14ac:dyDescent="0.3">
      <c r="A928">
        <v>927</v>
      </c>
      <c r="B928" s="1">
        <v>45986</v>
      </c>
      <c r="C928" s="2">
        <v>0.71458333333333335</v>
      </c>
      <c r="D928" t="s">
        <v>22</v>
      </c>
      <c r="E928" t="s">
        <v>23</v>
      </c>
      <c r="F928">
        <v>100</v>
      </c>
      <c r="G928" t="s">
        <v>68</v>
      </c>
      <c r="H928" t="s">
        <v>222</v>
      </c>
    </row>
    <row r="929" spans="1:8" x14ac:dyDescent="0.3">
      <c r="A929">
        <v>928</v>
      </c>
      <c r="B929" s="1">
        <v>45986</v>
      </c>
      <c r="C929" s="2">
        <v>0.74583333333333335</v>
      </c>
      <c r="D929" t="s">
        <v>22</v>
      </c>
      <c r="E929" t="s">
        <v>23</v>
      </c>
      <c r="F929">
        <v>46</v>
      </c>
      <c r="G929" t="s">
        <v>10</v>
      </c>
      <c r="H929" t="s">
        <v>222</v>
      </c>
    </row>
    <row r="930" spans="1:8" x14ac:dyDescent="0.3">
      <c r="A930">
        <v>929</v>
      </c>
      <c r="B930" s="1">
        <v>45987</v>
      </c>
      <c r="C930" s="2">
        <v>0.87083333333333335</v>
      </c>
      <c r="D930" t="s">
        <v>8</v>
      </c>
      <c r="E930" t="s">
        <v>9</v>
      </c>
      <c r="F930">
        <v>200</v>
      </c>
      <c r="G930" t="s">
        <v>33</v>
      </c>
      <c r="H930" t="s">
        <v>222</v>
      </c>
    </row>
    <row r="931" spans="1:8" x14ac:dyDescent="0.3">
      <c r="A931">
        <v>930</v>
      </c>
      <c r="B931" s="1">
        <v>45987</v>
      </c>
      <c r="C931" s="2">
        <v>0.91805555555555551</v>
      </c>
      <c r="D931" t="s">
        <v>22</v>
      </c>
      <c r="E931" t="s">
        <v>23</v>
      </c>
      <c r="F931">
        <v>160</v>
      </c>
      <c r="G931" t="s">
        <v>12</v>
      </c>
      <c r="H931" t="s">
        <v>222</v>
      </c>
    </row>
    <row r="932" spans="1:8" x14ac:dyDescent="0.3">
      <c r="A932">
        <v>931</v>
      </c>
      <c r="B932" s="1">
        <v>45989</v>
      </c>
      <c r="C932" s="2">
        <v>0.72638888888888886</v>
      </c>
      <c r="D932" t="s">
        <v>8</v>
      </c>
      <c r="E932" t="s">
        <v>9</v>
      </c>
      <c r="F932">
        <v>19</v>
      </c>
      <c r="G932" t="s">
        <v>166</v>
      </c>
      <c r="H932" t="s">
        <v>222</v>
      </c>
    </row>
    <row r="933" spans="1:8" x14ac:dyDescent="0.3">
      <c r="A933">
        <v>932</v>
      </c>
      <c r="B933" s="1">
        <v>45989</v>
      </c>
      <c r="C933" s="2">
        <v>0.77083333333333337</v>
      </c>
      <c r="D933" t="s">
        <v>8</v>
      </c>
      <c r="E933" t="s">
        <v>9</v>
      </c>
      <c r="F933">
        <v>36</v>
      </c>
      <c r="G933" t="s">
        <v>190</v>
      </c>
      <c r="H933" t="s">
        <v>222</v>
      </c>
    </row>
    <row r="934" spans="1:8" x14ac:dyDescent="0.3">
      <c r="A934">
        <v>933</v>
      </c>
      <c r="B934" s="1">
        <v>45989</v>
      </c>
      <c r="C934" s="2">
        <v>0.77152777777777781</v>
      </c>
      <c r="D934" t="s">
        <v>8</v>
      </c>
      <c r="E934" t="s">
        <v>9</v>
      </c>
      <c r="F934">
        <v>40</v>
      </c>
      <c r="G934" t="s">
        <v>35</v>
      </c>
      <c r="H934" t="s">
        <v>222</v>
      </c>
    </row>
    <row r="935" spans="1:8" x14ac:dyDescent="0.3">
      <c r="A935">
        <v>934</v>
      </c>
      <c r="B935" s="1">
        <v>45989</v>
      </c>
      <c r="C935" s="2">
        <v>0.77430555555555558</v>
      </c>
      <c r="D935" t="s">
        <v>8</v>
      </c>
      <c r="E935" t="s">
        <v>9</v>
      </c>
      <c r="F935">
        <v>76</v>
      </c>
      <c r="G935" t="s">
        <v>35</v>
      </c>
      <c r="H935" t="s">
        <v>222</v>
      </c>
    </row>
    <row r="936" spans="1:8" x14ac:dyDescent="0.3">
      <c r="A936">
        <v>935</v>
      </c>
      <c r="B936" s="1">
        <v>45989</v>
      </c>
      <c r="C936" s="2">
        <v>0.77500000000000002</v>
      </c>
      <c r="D936" t="s">
        <v>8</v>
      </c>
      <c r="E936" t="s">
        <v>9</v>
      </c>
      <c r="F936">
        <v>26</v>
      </c>
      <c r="G936" t="s">
        <v>146</v>
      </c>
      <c r="H936" t="s">
        <v>222</v>
      </c>
    </row>
    <row r="937" spans="1:8" x14ac:dyDescent="0.3">
      <c r="A937">
        <v>936</v>
      </c>
      <c r="B937" s="1">
        <v>45989</v>
      </c>
      <c r="C937" s="2">
        <v>0.77916666666666667</v>
      </c>
      <c r="D937" t="s">
        <v>22</v>
      </c>
      <c r="E937" t="s">
        <v>23</v>
      </c>
      <c r="F937">
        <v>206.4</v>
      </c>
      <c r="G937" t="s">
        <v>218</v>
      </c>
      <c r="H937" t="s">
        <v>222</v>
      </c>
    </row>
    <row r="938" spans="1:8" x14ac:dyDescent="0.3">
      <c r="A938">
        <v>937</v>
      </c>
      <c r="B938" s="1">
        <v>45989</v>
      </c>
      <c r="C938" s="2">
        <v>0.78611111111111109</v>
      </c>
      <c r="D938" t="s">
        <v>8</v>
      </c>
      <c r="E938" t="s">
        <v>9</v>
      </c>
      <c r="F938">
        <v>3</v>
      </c>
      <c r="G938" t="s">
        <v>35</v>
      </c>
      <c r="H938" t="s">
        <v>222</v>
      </c>
    </row>
    <row r="939" spans="1:8" x14ac:dyDescent="0.3">
      <c r="A939">
        <v>938</v>
      </c>
      <c r="B939" s="1">
        <v>45989</v>
      </c>
      <c r="C939" s="2">
        <v>0.78749999999999998</v>
      </c>
      <c r="D939" t="s">
        <v>22</v>
      </c>
      <c r="E939" t="s">
        <v>23</v>
      </c>
      <c r="F939">
        <v>20</v>
      </c>
      <c r="G939" t="s">
        <v>35</v>
      </c>
      <c r="H939" t="s">
        <v>222</v>
      </c>
    </row>
    <row r="940" spans="1:8" x14ac:dyDescent="0.3">
      <c r="A940">
        <v>939</v>
      </c>
      <c r="B940" s="1">
        <v>45990</v>
      </c>
      <c r="C940" s="2">
        <v>0.52500000000000002</v>
      </c>
      <c r="D940" t="s">
        <v>8</v>
      </c>
      <c r="E940" t="s">
        <v>9</v>
      </c>
      <c r="F940">
        <v>9</v>
      </c>
      <c r="G940" t="s">
        <v>24</v>
      </c>
      <c r="H940" t="s">
        <v>222</v>
      </c>
    </row>
    <row r="941" spans="1:8" x14ac:dyDescent="0.3">
      <c r="A941">
        <v>940</v>
      </c>
      <c r="B941" s="1">
        <v>45990</v>
      </c>
      <c r="C941" s="2">
        <v>0.74027777777777781</v>
      </c>
      <c r="D941" t="s">
        <v>22</v>
      </c>
      <c r="E941" t="s">
        <v>23</v>
      </c>
      <c r="F941">
        <v>3000</v>
      </c>
      <c r="G941" t="s">
        <v>74</v>
      </c>
      <c r="H941" t="s">
        <v>222</v>
      </c>
    </row>
    <row r="942" spans="1:8" x14ac:dyDescent="0.3">
      <c r="A942">
        <v>941</v>
      </c>
      <c r="B942" s="1">
        <v>45990</v>
      </c>
      <c r="C942" s="2">
        <v>0.81666666666666665</v>
      </c>
      <c r="D942" t="s">
        <v>8</v>
      </c>
      <c r="E942" t="s">
        <v>9</v>
      </c>
      <c r="F942">
        <v>1000</v>
      </c>
      <c r="G942" t="s">
        <v>103</v>
      </c>
      <c r="H942" t="s">
        <v>222</v>
      </c>
    </row>
    <row r="943" spans="1:8" x14ac:dyDescent="0.3">
      <c r="A943">
        <v>942</v>
      </c>
      <c r="B943" s="1">
        <v>45990</v>
      </c>
      <c r="C943" s="2">
        <v>0.87986111111111109</v>
      </c>
      <c r="D943" t="s">
        <v>8</v>
      </c>
      <c r="E943" t="s">
        <v>9</v>
      </c>
      <c r="F943">
        <v>1000</v>
      </c>
      <c r="G943" t="s">
        <v>103</v>
      </c>
      <c r="H943" t="s">
        <v>222</v>
      </c>
    </row>
    <row r="944" spans="1:8" x14ac:dyDescent="0.3">
      <c r="A944">
        <v>943</v>
      </c>
      <c r="B944" s="1">
        <v>45991</v>
      </c>
      <c r="C944" s="2">
        <v>0.83472222222222225</v>
      </c>
      <c r="D944" t="s">
        <v>8</v>
      </c>
      <c r="E944" t="s">
        <v>9</v>
      </c>
      <c r="F944">
        <v>1000</v>
      </c>
      <c r="G944" t="s">
        <v>74</v>
      </c>
      <c r="H944" t="s">
        <v>222</v>
      </c>
    </row>
    <row r="945" spans="1:8" x14ac:dyDescent="0.3">
      <c r="A945">
        <v>944</v>
      </c>
      <c r="B945" s="1">
        <v>45992</v>
      </c>
      <c r="C945" s="2">
        <v>0.74305555555555558</v>
      </c>
      <c r="D945" t="s">
        <v>8</v>
      </c>
      <c r="E945" t="s">
        <v>9</v>
      </c>
      <c r="F945">
        <v>25</v>
      </c>
      <c r="G945" t="s">
        <v>146</v>
      </c>
      <c r="H945" t="s">
        <v>234</v>
      </c>
    </row>
    <row r="946" spans="1:8" x14ac:dyDescent="0.3">
      <c r="A946">
        <v>945</v>
      </c>
      <c r="B946" s="1">
        <v>45993</v>
      </c>
      <c r="C946" s="2">
        <v>0.96458333333333335</v>
      </c>
      <c r="D946" t="s">
        <v>8</v>
      </c>
      <c r="E946" t="s">
        <v>9</v>
      </c>
      <c r="F946">
        <v>2000</v>
      </c>
      <c r="G946" t="s">
        <v>74</v>
      </c>
      <c r="H946" t="s">
        <v>234</v>
      </c>
    </row>
    <row r="947" spans="1:8" x14ac:dyDescent="0.3">
      <c r="A947">
        <v>946</v>
      </c>
      <c r="B947" s="1">
        <v>45995</v>
      </c>
      <c r="C947" s="2">
        <v>0.45</v>
      </c>
      <c r="D947" t="s">
        <v>8</v>
      </c>
      <c r="E947" t="s">
        <v>9</v>
      </c>
      <c r="F947">
        <v>10</v>
      </c>
      <c r="G947" t="s">
        <v>235</v>
      </c>
      <c r="H947" t="s">
        <v>234</v>
      </c>
    </row>
    <row r="948" spans="1:8" x14ac:dyDescent="0.3">
      <c r="A948">
        <v>947</v>
      </c>
      <c r="B948" s="1">
        <v>45996</v>
      </c>
      <c r="C948" s="2">
        <v>0.60138888888888886</v>
      </c>
      <c r="D948" t="s">
        <v>18</v>
      </c>
      <c r="E948" t="s">
        <v>9</v>
      </c>
      <c r="F948">
        <v>50000</v>
      </c>
      <c r="G948" t="s">
        <v>19</v>
      </c>
      <c r="H948" t="s">
        <v>234</v>
      </c>
    </row>
    <row r="949" spans="1:8" x14ac:dyDescent="0.3">
      <c r="A949">
        <v>948</v>
      </c>
      <c r="B949" s="1">
        <v>45996</v>
      </c>
      <c r="C949" s="2">
        <v>0.60833333333333328</v>
      </c>
      <c r="D949" t="s">
        <v>18</v>
      </c>
      <c r="E949" t="s">
        <v>9</v>
      </c>
      <c r="F949">
        <v>1680</v>
      </c>
      <c r="G949" t="s">
        <v>19</v>
      </c>
      <c r="H949" t="s">
        <v>234</v>
      </c>
    </row>
    <row r="950" spans="1:8" x14ac:dyDescent="0.3">
      <c r="A950">
        <v>949</v>
      </c>
      <c r="B950" s="1">
        <v>45996</v>
      </c>
      <c r="C950" s="2">
        <v>0.62361111111111112</v>
      </c>
      <c r="D950" t="s">
        <v>8</v>
      </c>
      <c r="E950" t="s">
        <v>9</v>
      </c>
      <c r="F950">
        <v>1300</v>
      </c>
      <c r="G950" t="s">
        <v>101</v>
      </c>
      <c r="H950" t="s">
        <v>234</v>
      </c>
    </row>
    <row r="951" spans="1:8" x14ac:dyDescent="0.3">
      <c r="A951">
        <v>950</v>
      </c>
      <c r="B951" s="1">
        <v>45996</v>
      </c>
      <c r="C951" s="2">
        <v>0.62430555555555556</v>
      </c>
      <c r="D951" t="s">
        <v>8</v>
      </c>
      <c r="E951" t="s">
        <v>9</v>
      </c>
      <c r="F951">
        <v>500</v>
      </c>
      <c r="G951" t="s">
        <v>101</v>
      </c>
      <c r="H951" t="s">
        <v>234</v>
      </c>
    </row>
    <row r="952" spans="1:8" x14ac:dyDescent="0.3">
      <c r="A952">
        <v>951</v>
      </c>
      <c r="B952" s="1">
        <v>45999</v>
      </c>
      <c r="C952" s="2">
        <v>0.76180555555555551</v>
      </c>
      <c r="D952" t="s">
        <v>22</v>
      </c>
      <c r="E952" t="s">
        <v>23</v>
      </c>
      <c r="F952">
        <v>500</v>
      </c>
      <c r="G952" t="s">
        <v>59</v>
      </c>
      <c r="H952" t="s">
        <v>234</v>
      </c>
    </row>
    <row r="953" spans="1:8" x14ac:dyDescent="0.3">
      <c r="A953">
        <v>952</v>
      </c>
      <c r="B953" s="1">
        <v>45999</v>
      </c>
      <c r="C953" s="2">
        <v>0.76388888888888884</v>
      </c>
      <c r="D953" t="s">
        <v>8</v>
      </c>
      <c r="E953" t="s">
        <v>9</v>
      </c>
      <c r="F953">
        <v>500</v>
      </c>
      <c r="G953" t="s">
        <v>236</v>
      </c>
      <c r="H953" t="s">
        <v>234</v>
      </c>
    </row>
    <row r="954" spans="1:8" x14ac:dyDescent="0.3">
      <c r="A954">
        <v>953</v>
      </c>
      <c r="B954" s="1">
        <v>45999</v>
      </c>
      <c r="C954" s="2">
        <v>0.76736111111111116</v>
      </c>
      <c r="D954" t="s">
        <v>8</v>
      </c>
      <c r="E954" t="s">
        <v>9</v>
      </c>
      <c r="F954">
        <v>20</v>
      </c>
      <c r="G954" t="s">
        <v>166</v>
      </c>
      <c r="H954" t="s">
        <v>234</v>
      </c>
    </row>
    <row r="955" spans="1:8" x14ac:dyDescent="0.3">
      <c r="A955">
        <v>954</v>
      </c>
      <c r="B955" s="1">
        <v>45999</v>
      </c>
      <c r="C955" s="2">
        <v>0.7680555555555556</v>
      </c>
      <c r="D955" t="s">
        <v>8</v>
      </c>
      <c r="E955" t="s">
        <v>9</v>
      </c>
      <c r="F955">
        <v>5</v>
      </c>
      <c r="G955" t="s">
        <v>166</v>
      </c>
      <c r="H955" t="s">
        <v>234</v>
      </c>
    </row>
    <row r="956" spans="1:8" x14ac:dyDescent="0.3">
      <c r="A956">
        <v>955</v>
      </c>
      <c r="B956" s="1">
        <v>45999</v>
      </c>
      <c r="C956" s="2">
        <v>0.80486111111111114</v>
      </c>
      <c r="D956" t="s">
        <v>22</v>
      </c>
      <c r="E956" t="s">
        <v>23</v>
      </c>
      <c r="F956">
        <v>150</v>
      </c>
      <c r="G956" t="s">
        <v>184</v>
      </c>
      <c r="H956" t="s">
        <v>234</v>
      </c>
    </row>
    <row r="957" spans="1:8" x14ac:dyDescent="0.3">
      <c r="A957">
        <v>956</v>
      </c>
      <c r="B957" s="1">
        <v>45999</v>
      </c>
      <c r="C957" s="2">
        <v>0.83263888888888893</v>
      </c>
      <c r="D957" t="s">
        <v>22</v>
      </c>
      <c r="E957" t="s">
        <v>23</v>
      </c>
      <c r="F957">
        <v>50000</v>
      </c>
      <c r="G957" t="s">
        <v>35</v>
      </c>
      <c r="H957" t="s">
        <v>234</v>
      </c>
    </row>
    <row r="958" spans="1:8" x14ac:dyDescent="0.3">
      <c r="A958">
        <v>957</v>
      </c>
      <c r="B958" s="1">
        <v>45999</v>
      </c>
      <c r="C958" s="2">
        <v>0.83472222222222225</v>
      </c>
      <c r="D958" t="s">
        <v>22</v>
      </c>
      <c r="E958" t="s">
        <v>23</v>
      </c>
      <c r="F958">
        <v>600</v>
      </c>
      <c r="G958" t="s">
        <v>35</v>
      </c>
      <c r="H958" t="s">
        <v>234</v>
      </c>
    </row>
    <row r="959" spans="1:8" x14ac:dyDescent="0.3">
      <c r="A959">
        <v>958</v>
      </c>
      <c r="B959" s="1">
        <v>45999</v>
      </c>
      <c r="C959" s="2">
        <v>0.8354166666666667</v>
      </c>
      <c r="D959" t="s">
        <v>8</v>
      </c>
      <c r="E959" t="s">
        <v>9</v>
      </c>
      <c r="F959">
        <v>600</v>
      </c>
      <c r="G959" t="s">
        <v>237</v>
      </c>
      <c r="H959" t="s">
        <v>234</v>
      </c>
    </row>
    <row r="960" spans="1:8" x14ac:dyDescent="0.3">
      <c r="A960">
        <v>959</v>
      </c>
      <c r="B960" s="1">
        <v>45999</v>
      </c>
      <c r="C960" s="2">
        <v>0.8354166666666667</v>
      </c>
      <c r="D960" t="s">
        <v>8</v>
      </c>
      <c r="E960" t="s">
        <v>9</v>
      </c>
      <c r="F960">
        <v>50000</v>
      </c>
      <c r="G960" t="s">
        <v>237</v>
      </c>
      <c r="H960" t="s">
        <v>234</v>
      </c>
    </row>
    <row r="961" spans="1:8" x14ac:dyDescent="0.3">
      <c r="A961">
        <v>960</v>
      </c>
      <c r="B961" s="1">
        <v>45999</v>
      </c>
      <c r="C961" s="2">
        <v>0.87013888888888891</v>
      </c>
      <c r="D961" t="s">
        <v>8</v>
      </c>
      <c r="E961" t="s">
        <v>9</v>
      </c>
      <c r="F961">
        <v>150</v>
      </c>
      <c r="G961" t="s">
        <v>203</v>
      </c>
      <c r="H961" t="s">
        <v>234</v>
      </c>
    </row>
    <row r="962" spans="1:8" x14ac:dyDescent="0.3">
      <c r="A962">
        <v>961</v>
      </c>
      <c r="B962" s="1">
        <v>46000</v>
      </c>
      <c r="C962" s="2">
        <v>0.72013888888888888</v>
      </c>
      <c r="D962" t="s">
        <v>14</v>
      </c>
      <c r="E962" t="s">
        <v>9</v>
      </c>
      <c r="F962">
        <v>322</v>
      </c>
      <c r="G962" t="s">
        <v>36</v>
      </c>
      <c r="H962" t="s">
        <v>234</v>
      </c>
    </row>
    <row r="963" spans="1:8" x14ac:dyDescent="0.3">
      <c r="A963">
        <v>962</v>
      </c>
      <c r="B963" s="1">
        <v>46000</v>
      </c>
      <c r="C963" s="2">
        <v>0.80694444444444446</v>
      </c>
      <c r="D963" t="s">
        <v>8</v>
      </c>
      <c r="E963" t="s">
        <v>9</v>
      </c>
      <c r="F963">
        <v>322</v>
      </c>
      <c r="G963" t="s">
        <v>203</v>
      </c>
      <c r="H963" t="s">
        <v>234</v>
      </c>
    </row>
    <row r="964" spans="1:8" x14ac:dyDescent="0.3">
      <c r="A964">
        <v>963</v>
      </c>
      <c r="B964" s="1">
        <v>46000</v>
      </c>
      <c r="C964" s="2">
        <v>0.80694444444444446</v>
      </c>
      <c r="D964" t="s">
        <v>8</v>
      </c>
      <c r="E964" t="s">
        <v>9</v>
      </c>
      <c r="F964">
        <v>2000</v>
      </c>
      <c r="G964" t="s">
        <v>68</v>
      </c>
      <c r="H964" t="s">
        <v>234</v>
      </c>
    </row>
    <row r="965" spans="1:8" x14ac:dyDescent="0.3">
      <c r="A965">
        <v>964</v>
      </c>
      <c r="B965" s="1">
        <v>46000</v>
      </c>
      <c r="C965" s="2">
        <v>0.85624999999999996</v>
      </c>
      <c r="D965" t="s">
        <v>22</v>
      </c>
      <c r="E965" t="s">
        <v>23</v>
      </c>
      <c r="F965">
        <v>650</v>
      </c>
      <c r="G965" t="s">
        <v>35</v>
      </c>
      <c r="H965" t="s">
        <v>234</v>
      </c>
    </row>
    <row r="966" spans="1:8" x14ac:dyDescent="0.3">
      <c r="A966">
        <v>965</v>
      </c>
      <c r="B966" s="1">
        <v>46000</v>
      </c>
      <c r="C966" s="2">
        <v>0.85624999999999996</v>
      </c>
      <c r="D966" t="s">
        <v>8</v>
      </c>
      <c r="E966" t="s">
        <v>9</v>
      </c>
      <c r="F966">
        <v>650</v>
      </c>
      <c r="G966" t="s">
        <v>237</v>
      </c>
      <c r="H966" t="s">
        <v>234</v>
      </c>
    </row>
    <row r="967" spans="1:8" x14ac:dyDescent="0.3">
      <c r="A967">
        <v>966</v>
      </c>
      <c r="B967" s="1">
        <v>46002</v>
      </c>
      <c r="C967" s="2">
        <v>0.86111111111111116</v>
      </c>
      <c r="D967" t="s">
        <v>8</v>
      </c>
      <c r="E967" t="s">
        <v>9</v>
      </c>
      <c r="F967">
        <v>500</v>
      </c>
      <c r="G967" t="s">
        <v>103</v>
      </c>
      <c r="H967" t="s">
        <v>234</v>
      </c>
    </row>
    <row r="968" spans="1:8" x14ac:dyDescent="0.3">
      <c r="A968">
        <v>967</v>
      </c>
      <c r="B968" s="1">
        <v>46002</v>
      </c>
      <c r="C968" s="2">
        <v>0.90555555555555556</v>
      </c>
      <c r="D968" t="s">
        <v>22</v>
      </c>
      <c r="E968" t="s">
        <v>23</v>
      </c>
      <c r="F968">
        <v>500</v>
      </c>
      <c r="G968" t="s">
        <v>91</v>
      </c>
      <c r="H968" t="s">
        <v>234</v>
      </c>
    </row>
    <row r="969" spans="1:8" x14ac:dyDescent="0.3">
      <c r="A969">
        <v>968</v>
      </c>
      <c r="B969" s="1">
        <v>46002</v>
      </c>
      <c r="C969" s="2">
        <v>0.90763888888888888</v>
      </c>
      <c r="D969" t="s">
        <v>8</v>
      </c>
      <c r="E969" t="s">
        <v>9</v>
      </c>
      <c r="F969">
        <v>500</v>
      </c>
      <c r="G969" t="s">
        <v>238</v>
      </c>
      <c r="H969" t="s">
        <v>234</v>
      </c>
    </row>
    <row r="970" spans="1:8" x14ac:dyDescent="0.3">
      <c r="A970">
        <v>969</v>
      </c>
      <c r="B970" s="1">
        <v>46002</v>
      </c>
      <c r="C970" s="2">
        <v>0.90763888888888888</v>
      </c>
      <c r="D970" t="s">
        <v>8</v>
      </c>
      <c r="E970" t="s">
        <v>9</v>
      </c>
      <c r="F970">
        <v>500</v>
      </c>
      <c r="G970" t="s">
        <v>238</v>
      </c>
      <c r="H970" t="s">
        <v>234</v>
      </c>
    </row>
    <row r="971" spans="1:8" x14ac:dyDescent="0.3">
      <c r="A971">
        <v>970</v>
      </c>
      <c r="B971" s="1">
        <v>46004</v>
      </c>
      <c r="C971" s="2">
        <v>0.4548611111111111</v>
      </c>
      <c r="D971" t="s">
        <v>22</v>
      </c>
      <c r="E971" t="s">
        <v>23</v>
      </c>
      <c r="F971">
        <v>500</v>
      </c>
      <c r="G971" t="s">
        <v>239</v>
      </c>
      <c r="H971" t="s">
        <v>234</v>
      </c>
    </row>
    <row r="972" spans="1:8" x14ac:dyDescent="0.3">
      <c r="A972">
        <v>971</v>
      </c>
      <c r="B972" s="1">
        <v>46004</v>
      </c>
      <c r="C972" s="2">
        <v>0.45763888888888887</v>
      </c>
      <c r="D972" t="s">
        <v>8</v>
      </c>
      <c r="E972" t="s">
        <v>9</v>
      </c>
      <c r="F972">
        <v>500</v>
      </c>
      <c r="G972" t="s">
        <v>146</v>
      </c>
      <c r="H972" t="s">
        <v>234</v>
      </c>
    </row>
    <row r="973" spans="1:8" x14ac:dyDescent="0.3">
      <c r="A973">
        <v>972</v>
      </c>
      <c r="B973" s="1">
        <v>46005</v>
      </c>
      <c r="C973" s="2">
        <v>0.74444444444444446</v>
      </c>
      <c r="D973" t="s">
        <v>8</v>
      </c>
      <c r="E973" t="s">
        <v>9</v>
      </c>
      <c r="F973">
        <v>40</v>
      </c>
      <c r="G973" t="s">
        <v>240</v>
      </c>
      <c r="H973" t="s">
        <v>234</v>
      </c>
    </row>
    <row r="974" spans="1:8" x14ac:dyDescent="0.3">
      <c r="A974">
        <v>973</v>
      </c>
      <c r="B974" s="1">
        <v>46005</v>
      </c>
      <c r="C974" s="2">
        <v>0.75902777777777775</v>
      </c>
      <c r="D974" t="s">
        <v>8</v>
      </c>
      <c r="E974" t="s">
        <v>9</v>
      </c>
      <c r="F974">
        <v>459</v>
      </c>
      <c r="G974" t="s">
        <v>35</v>
      </c>
      <c r="H974" t="s">
        <v>234</v>
      </c>
    </row>
    <row r="975" spans="1:8" x14ac:dyDescent="0.3">
      <c r="A975">
        <v>974</v>
      </c>
      <c r="B975" s="1">
        <v>46006</v>
      </c>
      <c r="C975" s="2">
        <v>0.40763888888888888</v>
      </c>
      <c r="D975" t="s">
        <v>22</v>
      </c>
      <c r="E975" t="s">
        <v>23</v>
      </c>
      <c r="F975">
        <v>5000</v>
      </c>
      <c r="G975" t="s">
        <v>59</v>
      </c>
      <c r="H975" t="s">
        <v>234</v>
      </c>
    </row>
    <row r="976" spans="1:8" x14ac:dyDescent="0.3">
      <c r="A976">
        <v>975</v>
      </c>
      <c r="B976" s="1">
        <v>46006</v>
      </c>
      <c r="C976" s="2">
        <v>0.40833333333333333</v>
      </c>
      <c r="D976" t="s">
        <v>8</v>
      </c>
      <c r="E976" t="s">
        <v>9</v>
      </c>
      <c r="F976">
        <v>5000</v>
      </c>
      <c r="G976" t="s">
        <v>241</v>
      </c>
      <c r="H976" t="s">
        <v>234</v>
      </c>
    </row>
    <row r="977" spans="1:8" x14ac:dyDescent="0.3">
      <c r="A977">
        <v>976</v>
      </c>
      <c r="B977" s="1">
        <v>46006</v>
      </c>
      <c r="C977" s="2">
        <v>0.40902777777777777</v>
      </c>
      <c r="D977" t="s">
        <v>8</v>
      </c>
      <c r="E977" t="s">
        <v>9</v>
      </c>
      <c r="F977">
        <v>200</v>
      </c>
      <c r="G977" t="s">
        <v>241</v>
      </c>
      <c r="H977" t="s">
        <v>234</v>
      </c>
    </row>
    <row r="978" spans="1:8" x14ac:dyDescent="0.3">
      <c r="A978">
        <v>977</v>
      </c>
      <c r="B978" s="1">
        <v>46006</v>
      </c>
      <c r="C978" s="2">
        <v>0.77361111111111114</v>
      </c>
      <c r="D978" t="s">
        <v>8</v>
      </c>
      <c r="E978" t="s">
        <v>9</v>
      </c>
      <c r="F978">
        <v>5000</v>
      </c>
      <c r="G978" t="s">
        <v>68</v>
      </c>
      <c r="H978" t="s">
        <v>234</v>
      </c>
    </row>
    <row r="979" spans="1:8" x14ac:dyDescent="0.3">
      <c r="A979">
        <v>978</v>
      </c>
      <c r="B979" s="1">
        <v>46006</v>
      </c>
      <c r="C979" s="2">
        <v>0.78402777777777777</v>
      </c>
      <c r="D979" t="s">
        <v>22</v>
      </c>
      <c r="E979" t="s">
        <v>23</v>
      </c>
      <c r="F979">
        <v>1500</v>
      </c>
      <c r="G979" t="s">
        <v>242</v>
      </c>
      <c r="H979" t="s">
        <v>234</v>
      </c>
    </row>
    <row r="980" spans="1:8" x14ac:dyDescent="0.3">
      <c r="A980">
        <v>979</v>
      </c>
      <c r="B980" s="1">
        <v>46007</v>
      </c>
      <c r="C980" s="2">
        <v>0.66041666666666665</v>
      </c>
      <c r="D980" t="s">
        <v>22</v>
      </c>
      <c r="E980" t="s">
        <v>23</v>
      </c>
      <c r="F980">
        <v>45000</v>
      </c>
      <c r="G980" t="s">
        <v>243</v>
      </c>
      <c r="H980" t="s">
        <v>234</v>
      </c>
    </row>
    <row r="981" spans="1:8" x14ac:dyDescent="0.3">
      <c r="A981">
        <v>980</v>
      </c>
      <c r="B981" s="1">
        <v>46007</v>
      </c>
      <c r="C981" s="2">
        <v>0.66249999999999998</v>
      </c>
      <c r="D981" t="s">
        <v>8</v>
      </c>
      <c r="E981" t="s">
        <v>9</v>
      </c>
      <c r="F981">
        <v>5000</v>
      </c>
      <c r="G981" t="s">
        <v>244</v>
      </c>
      <c r="H981" t="s">
        <v>234</v>
      </c>
    </row>
    <row r="982" spans="1:8" x14ac:dyDescent="0.3">
      <c r="A982">
        <v>981</v>
      </c>
      <c r="B982" s="1">
        <v>46007</v>
      </c>
      <c r="C982" s="2">
        <v>0.71180555555555558</v>
      </c>
      <c r="D982" t="s">
        <v>8</v>
      </c>
      <c r="E982" t="s">
        <v>9</v>
      </c>
      <c r="F982">
        <v>1000</v>
      </c>
      <c r="G982" t="s">
        <v>245</v>
      </c>
      <c r="H982" t="s">
        <v>234</v>
      </c>
    </row>
    <row r="983" spans="1:8" x14ac:dyDescent="0.3">
      <c r="A983">
        <v>982</v>
      </c>
      <c r="B983" s="1">
        <v>46007</v>
      </c>
      <c r="C983" s="2">
        <v>0.83611111111111114</v>
      </c>
      <c r="D983" t="s">
        <v>8</v>
      </c>
      <c r="E983" t="s">
        <v>9</v>
      </c>
      <c r="F983">
        <v>2000</v>
      </c>
      <c r="G983" t="s">
        <v>185</v>
      </c>
      <c r="H983" t="s">
        <v>234</v>
      </c>
    </row>
    <row r="984" spans="1:8" x14ac:dyDescent="0.3">
      <c r="A984">
        <v>983</v>
      </c>
      <c r="B984" s="1">
        <v>46008</v>
      </c>
      <c r="C984" s="2">
        <v>0.63402777777777775</v>
      </c>
      <c r="D984" t="s">
        <v>8</v>
      </c>
      <c r="E984" t="s">
        <v>9</v>
      </c>
      <c r="F984">
        <v>1000</v>
      </c>
      <c r="G984" t="s">
        <v>156</v>
      </c>
      <c r="H984" t="s">
        <v>234</v>
      </c>
    </row>
    <row r="985" spans="1:8" x14ac:dyDescent="0.3">
      <c r="A985">
        <v>984</v>
      </c>
      <c r="B985" s="1">
        <v>46008</v>
      </c>
      <c r="C985" s="2">
        <v>0.79791666666666672</v>
      </c>
      <c r="D985" t="s">
        <v>8</v>
      </c>
      <c r="E985" t="s">
        <v>9</v>
      </c>
      <c r="F985">
        <v>29</v>
      </c>
      <c r="G985" t="s">
        <v>166</v>
      </c>
      <c r="H985" t="s">
        <v>234</v>
      </c>
    </row>
    <row r="986" spans="1:8" x14ac:dyDescent="0.3">
      <c r="A986">
        <v>985</v>
      </c>
      <c r="B986" s="1">
        <v>46009</v>
      </c>
      <c r="C986" s="2">
        <v>0.86527777777777781</v>
      </c>
      <c r="D986" t="s">
        <v>22</v>
      </c>
      <c r="E986" t="s">
        <v>23</v>
      </c>
      <c r="F986">
        <v>22</v>
      </c>
      <c r="G986" t="s">
        <v>35</v>
      </c>
      <c r="H986" t="s">
        <v>234</v>
      </c>
    </row>
    <row r="987" spans="1:8" x14ac:dyDescent="0.3">
      <c r="A987">
        <v>986</v>
      </c>
      <c r="B987" s="1">
        <v>46011</v>
      </c>
      <c r="C987" s="2">
        <v>0.54652777777777772</v>
      </c>
      <c r="D987" t="s">
        <v>8</v>
      </c>
      <c r="E987" t="s">
        <v>9</v>
      </c>
      <c r="F987">
        <v>10</v>
      </c>
      <c r="G987" t="s">
        <v>175</v>
      </c>
      <c r="H987" t="s">
        <v>234</v>
      </c>
    </row>
    <row r="988" spans="1:8" x14ac:dyDescent="0.3">
      <c r="A988">
        <v>987</v>
      </c>
      <c r="B988" s="1">
        <v>46011</v>
      </c>
      <c r="C988" s="2">
        <v>0.62430555555555556</v>
      </c>
      <c r="D988" t="s">
        <v>22</v>
      </c>
      <c r="E988" t="s">
        <v>23</v>
      </c>
      <c r="F988">
        <v>250</v>
      </c>
      <c r="G988" t="s">
        <v>59</v>
      </c>
      <c r="H988" t="s">
        <v>234</v>
      </c>
    </row>
    <row r="989" spans="1:8" x14ac:dyDescent="0.3">
      <c r="A989">
        <v>988</v>
      </c>
      <c r="B989" s="1">
        <v>46012</v>
      </c>
      <c r="C989" s="2">
        <v>0.56874999999999998</v>
      </c>
      <c r="D989" t="s">
        <v>8</v>
      </c>
      <c r="E989" t="s">
        <v>9</v>
      </c>
      <c r="F989">
        <v>1000</v>
      </c>
      <c r="G989" t="s">
        <v>246</v>
      </c>
      <c r="H989" t="s">
        <v>234</v>
      </c>
    </row>
    <row r="990" spans="1:8" x14ac:dyDescent="0.3">
      <c r="A990">
        <v>989</v>
      </c>
      <c r="B990" s="1">
        <v>46012</v>
      </c>
      <c r="C990" s="2">
        <v>0.64097222222222228</v>
      </c>
      <c r="D990" t="s">
        <v>8</v>
      </c>
      <c r="E990" t="s">
        <v>9</v>
      </c>
      <c r="F990">
        <v>50</v>
      </c>
      <c r="G990" t="s">
        <v>247</v>
      </c>
      <c r="H990" t="s">
        <v>234</v>
      </c>
    </row>
    <row r="991" spans="1:8" x14ac:dyDescent="0.3">
      <c r="A991">
        <v>990</v>
      </c>
      <c r="B991" s="1">
        <v>46012</v>
      </c>
      <c r="C991" s="2">
        <v>0.70416666666666672</v>
      </c>
      <c r="D991" t="s">
        <v>8</v>
      </c>
      <c r="E991" t="s">
        <v>9</v>
      </c>
      <c r="F991">
        <v>2500</v>
      </c>
      <c r="G991" t="s">
        <v>248</v>
      </c>
      <c r="H991" t="s">
        <v>234</v>
      </c>
    </row>
    <row r="992" spans="1:8" x14ac:dyDescent="0.3">
      <c r="A992">
        <v>991</v>
      </c>
      <c r="B992" s="1">
        <v>46012</v>
      </c>
      <c r="C992" s="2">
        <v>0.75138888888888888</v>
      </c>
      <c r="D992" t="s">
        <v>8</v>
      </c>
      <c r="E992" t="s">
        <v>9</v>
      </c>
      <c r="F992">
        <v>1550</v>
      </c>
      <c r="G992" t="s">
        <v>249</v>
      </c>
      <c r="H992" t="s">
        <v>234</v>
      </c>
    </row>
    <row r="993" spans="1:8" x14ac:dyDescent="0.3">
      <c r="A993">
        <v>992</v>
      </c>
      <c r="B993" s="1">
        <v>46012</v>
      </c>
      <c r="C993" s="2">
        <v>0.75486111111111109</v>
      </c>
      <c r="D993" t="s">
        <v>22</v>
      </c>
      <c r="E993" t="s">
        <v>23</v>
      </c>
      <c r="F993">
        <v>100</v>
      </c>
      <c r="G993" t="s">
        <v>239</v>
      </c>
      <c r="H993" t="s">
        <v>234</v>
      </c>
    </row>
    <row r="994" spans="1:8" x14ac:dyDescent="0.3">
      <c r="A994">
        <v>993</v>
      </c>
      <c r="B994" s="1">
        <v>46012</v>
      </c>
      <c r="C994" s="2">
        <v>0.75486111111111109</v>
      </c>
      <c r="D994" t="s">
        <v>22</v>
      </c>
      <c r="E994" t="s">
        <v>23</v>
      </c>
      <c r="F994">
        <v>900</v>
      </c>
      <c r="G994" t="s">
        <v>239</v>
      </c>
      <c r="H994" t="s">
        <v>234</v>
      </c>
    </row>
    <row r="995" spans="1:8" x14ac:dyDescent="0.3">
      <c r="A995">
        <v>994</v>
      </c>
      <c r="B995" s="1">
        <v>46012</v>
      </c>
      <c r="C995" s="2">
        <v>0.75763888888888886</v>
      </c>
      <c r="D995" t="s">
        <v>8</v>
      </c>
      <c r="E995" t="s">
        <v>9</v>
      </c>
      <c r="F995">
        <v>1000</v>
      </c>
      <c r="G995" t="s">
        <v>146</v>
      </c>
      <c r="H995" t="s">
        <v>234</v>
      </c>
    </row>
    <row r="996" spans="1:8" x14ac:dyDescent="0.3">
      <c r="A996">
        <v>995</v>
      </c>
      <c r="B996" s="1">
        <v>46012</v>
      </c>
      <c r="C996" s="2">
        <v>0.76249999999999996</v>
      </c>
      <c r="D996" t="s">
        <v>8</v>
      </c>
      <c r="E996" t="s">
        <v>9</v>
      </c>
      <c r="F996">
        <v>1000</v>
      </c>
      <c r="G996" t="s">
        <v>245</v>
      </c>
      <c r="H996" t="s">
        <v>234</v>
      </c>
    </row>
    <row r="997" spans="1:8" x14ac:dyDescent="0.3">
      <c r="A997">
        <v>996</v>
      </c>
      <c r="B997" s="1">
        <v>46012</v>
      </c>
      <c r="C997" s="2">
        <v>0.76527777777777772</v>
      </c>
      <c r="D997" t="s">
        <v>8</v>
      </c>
      <c r="E997" t="s">
        <v>9</v>
      </c>
      <c r="F997">
        <v>200</v>
      </c>
      <c r="G997" t="s">
        <v>250</v>
      </c>
      <c r="H997" t="s">
        <v>234</v>
      </c>
    </row>
    <row r="998" spans="1:8" x14ac:dyDescent="0.3">
      <c r="A998">
        <v>997</v>
      </c>
      <c r="B998" s="1">
        <v>46012</v>
      </c>
      <c r="C998" s="2">
        <v>0.80972222222222223</v>
      </c>
      <c r="D998" t="s">
        <v>22</v>
      </c>
      <c r="E998" t="s">
        <v>23</v>
      </c>
      <c r="F998">
        <v>1500</v>
      </c>
      <c r="G998" t="s">
        <v>251</v>
      </c>
      <c r="H998" t="s">
        <v>234</v>
      </c>
    </row>
    <row r="999" spans="1:8" x14ac:dyDescent="0.3">
      <c r="A999">
        <v>998</v>
      </c>
      <c r="B999" s="1">
        <v>46013</v>
      </c>
      <c r="C999" s="2">
        <v>0.52361111111111114</v>
      </c>
      <c r="D999" t="s">
        <v>8</v>
      </c>
      <c r="E999" t="s">
        <v>9</v>
      </c>
      <c r="F999">
        <v>4320</v>
      </c>
      <c r="G999" t="s">
        <v>252</v>
      </c>
      <c r="H999" t="s">
        <v>234</v>
      </c>
    </row>
    <row r="1000" spans="1:8" x14ac:dyDescent="0.3">
      <c r="A1000">
        <v>999</v>
      </c>
      <c r="B1000" s="1">
        <v>46013</v>
      </c>
      <c r="C1000" s="2">
        <v>0.6791666666666667</v>
      </c>
      <c r="D1000" t="s">
        <v>8</v>
      </c>
      <c r="E1000" t="s">
        <v>9</v>
      </c>
      <c r="F1000">
        <v>2000</v>
      </c>
      <c r="G1000" t="s">
        <v>245</v>
      </c>
      <c r="H1000" t="s">
        <v>234</v>
      </c>
    </row>
    <row r="1001" spans="1:8" x14ac:dyDescent="0.3">
      <c r="A1001">
        <v>1000</v>
      </c>
      <c r="B1001" s="1">
        <v>46013</v>
      </c>
      <c r="C1001" s="2">
        <v>0.75208333333333333</v>
      </c>
      <c r="D1001" t="s">
        <v>22</v>
      </c>
      <c r="E1001" t="s">
        <v>23</v>
      </c>
      <c r="F1001">
        <v>85</v>
      </c>
      <c r="G1001" t="s">
        <v>35</v>
      </c>
      <c r="H1001" t="s">
        <v>234</v>
      </c>
    </row>
    <row r="1002" spans="1:8" x14ac:dyDescent="0.3">
      <c r="A1002">
        <v>1001</v>
      </c>
      <c r="B1002" s="1">
        <v>46013</v>
      </c>
      <c r="C1002" s="2">
        <v>0.77708333333333335</v>
      </c>
      <c r="D1002" t="s">
        <v>8</v>
      </c>
      <c r="E1002" t="s">
        <v>9</v>
      </c>
      <c r="F1002">
        <v>1000</v>
      </c>
      <c r="G1002" t="s">
        <v>185</v>
      </c>
      <c r="H1002" t="s">
        <v>234</v>
      </c>
    </row>
    <row r="1003" spans="1:8" x14ac:dyDescent="0.3">
      <c r="A1003">
        <v>1002</v>
      </c>
      <c r="B1003" s="1">
        <v>46013</v>
      </c>
      <c r="C1003" s="2">
        <v>0.80208333333333337</v>
      </c>
      <c r="D1003" t="s">
        <v>8</v>
      </c>
      <c r="E1003" t="s">
        <v>9</v>
      </c>
      <c r="F1003">
        <v>80</v>
      </c>
      <c r="G1003" t="s">
        <v>253</v>
      </c>
      <c r="H1003" t="s">
        <v>234</v>
      </c>
    </row>
    <row r="1004" spans="1:8" x14ac:dyDescent="0.3">
      <c r="A1004">
        <v>1003</v>
      </c>
      <c r="B1004" s="1">
        <v>46013</v>
      </c>
      <c r="C1004" s="2">
        <v>0.85624999999999996</v>
      </c>
      <c r="D1004" t="s">
        <v>8</v>
      </c>
      <c r="E1004" t="s">
        <v>9</v>
      </c>
      <c r="F1004">
        <v>40</v>
      </c>
      <c r="G1004" t="s">
        <v>254</v>
      </c>
      <c r="H1004" t="s">
        <v>234</v>
      </c>
    </row>
    <row r="1005" spans="1:8" x14ac:dyDescent="0.3">
      <c r="A1005">
        <v>1004</v>
      </c>
      <c r="B1005" s="1">
        <v>46014</v>
      </c>
      <c r="C1005" s="2">
        <v>0.26111111111111113</v>
      </c>
      <c r="D1005" t="s">
        <v>8</v>
      </c>
      <c r="E1005" t="s">
        <v>9</v>
      </c>
      <c r="F1005">
        <v>40</v>
      </c>
      <c r="G1005" t="s">
        <v>255</v>
      </c>
      <c r="H1005" t="s">
        <v>234</v>
      </c>
    </row>
    <row r="1006" spans="1:8" x14ac:dyDescent="0.3">
      <c r="A1006">
        <v>1005</v>
      </c>
      <c r="B1006" s="1">
        <v>46014</v>
      </c>
      <c r="C1006" s="2">
        <v>0.26319444444444445</v>
      </c>
      <c r="D1006" t="s">
        <v>8</v>
      </c>
      <c r="E1006" t="s">
        <v>9</v>
      </c>
      <c r="F1006">
        <v>50</v>
      </c>
      <c r="G1006" t="s">
        <v>228</v>
      </c>
      <c r="H1006" t="s">
        <v>234</v>
      </c>
    </row>
    <row r="1007" spans="1:8" x14ac:dyDescent="0.3">
      <c r="A1007">
        <v>1006</v>
      </c>
      <c r="B1007" s="1">
        <v>46014</v>
      </c>
      <c r="C1007" s="2">
        <v>0.60624999999999996</v>
      </c>
      <c r="D1007" t="s">
        <v>8</v>
      </c>
      <c r="E1007" t="s">
        <v>9</v>
      </c>
      <c r="F1007">
        <v>27</v>
      </c>
      <c r="G1007" t="s">
        <v>256</v>
      </c>
      <c r="H1007" t="s">
        <v>234</v>
      </c>
    </row>
    <row r="1008" spans="1:8" x14ac:dyDescent="0.3">
      <c r="A1008">
        <v>1007</v>
      </c>
      <c r="B1008" s="1">
        <v>46014</v>
      </c>
      <c r="C1008" s="2">
        <v>0.65347222222222223</v>
      </c>
      <c r="D1008" t="s">
        <v>22</v>
      </c>
      <c r="E1008" t="s">
        <v>23</v>
      </c>
      <c r="F1008">
        <v>25</v>
      </c>
      <c r="G1008" t="s">
        <v>33</v>
      </c>
      <c r="H1008" t="s">
        <v>234</v>
      </c>
    </row>
    <row r="1009" spans="1:8" x14ac:dyDescent="0.3">
      <c r="A1009">
        <v>1008</v>
      </c>
      <c r="B1009" s="1">
        <v>46016</v>
      </c>
      <c r="C1009" s="2">
        <v>0.49930555555555556</v>
      </c>
      <c r="D1009" t="s">
        <v>8</v>
      </c>
      <c r="E1009" t="s">
        <v>9</v>
      </c>
      <c r="F1009">
        <v>2100</v>
      </c>
      <c r="G1009" t="s">
        <v>30</v>
      </c>
      <c r="H1009" t="s">
        <v>234</v>
      </c>
    </row>
    <row r="1010" spans="1:8" x14ac:dyDescent="0.3">
      <c r="A1010">
        <v>1009</v>
      </c>
      <c r="B1010" s="1">
        <v>46016</v>
      </c>
      <c r="C1010" s="2">
        <v>0.55277777777777781</v>
      </c>
      <c r="D1010" t="s">
        <v>22</v>
      </c>
      <c r="E1010" t="s">
        <v>23</v>
      </c>
      <c r="F1010">
        <v>1300</v>
      </c>
      <c r="G1010" t="s">
        <v>257</v>
      </c>
      <c r="H1010" t="s">
        <v>234</v>
      </c>
    </row>
    <row r="1011" spans="1:8" x14ac:dyDescent="0.3">
      <c r="A1011">
        <v>1010</v>
      </c>
      <c r="B1011" s="1">
        <v>46017</v>
      </c>
      <c r="C1011" s="2">
        <v>0.37986111111111109</v>
      </c>
      <c r="D1011" t="s">
        <v>22</v>
      </c>
      <c r="E1011" t="s">
        <v>23</v>
      </c>
      <c r="F1011">
        <v>90</v>
      </c>
      <c r="G1011" t="s">
        <v>74</v>
      </c>
      <c r="H1011" t="s">
        <v>234</v>
      </c>
    </row>
    <row r="1012" spans="1:8" x14ac:dyDescent="0.3">
      <c r="A1012">
        <v>1011</v>
      </c>
      <c r="B1012" s="1">
        <v>46019</v>
      </c>
      <c r="C1012" s="2">
        <v>0.78333333333333333</v>
      </c>
      <c r="D1012" t="s">
        <v>8</v>
      </c>
      <c r="E1012" t="s">
        <v>9</v>
      </c>
      <c r="F1012">
        <v>2500</v>
      </c>
      <c r="G1012" t="s">
        <v>109</v>
      </c>
      <c r="H1012" t="s">
        <v>234</v>
      </c>
    </row>
    <row r="1013" spans="1:8" x14ac:dyDescent="0.3">
      <c r="A1013">
        <v>1012</v>
      </c>
      <c r="B1013" s="1">
        <v>46020</v>
      </c>
      <c r="C1013" s="2">
        <v>0.44861111111111113</v>
      </c>
      <c r="D1013" t="s">
        <v>8</v>
      </c>
      <c r="E1013" t="s">
        <v>9</v>
      </c>
      <c r="F1013">
        <v>80</v>
      </c>
      <c r="G1013" t="s">
        <v>258</v>
      </c>
      <c r="H1013" t="s">
        <v>234</v>
      </c>
    </row>
    <row r="1014" spans="1:8" x14ac:dyDescent="0.3">
      <c r="A1014">
        <v>1013</v>
      </c>
      <c r="B1014" s="1">
        <v>46020</v>
      </c>
      <c r="C1014" s="2">
        <v>0.46319444444444446</v>
      </c>
      <c r="D1014" t="s">
        <v>8</v>
      </c>
      <c r="E1014" t="s">
        <v>9</v>
      </c>
      <c r="F1014">
        <v>35</v>
      </c>
      <c r="G1014" t="s">
        <v>259</v>
      </c>
      <c r="H1014" t="s">
        <v>234</v>
      </c>
    </row>
    <row r="1015" spans="1:8" x14ac:dyDescent="0.3">
      <c r="A1015">
        <v>1014</v>
      </c>
      <c r="B1015" s="1">
        <v>46020</v>
      </c>
      <c r="C1015" s="2">
        <v>0.46527777777777779</v>
      </c>
      <c r="D1015" t="s">
        <v>8</v>
      </c>
      <c r="E1015" t="s">
        <v>9</v>
      </c>
      <c r="F1015">
        <v>40</v>
      </c>
      <c r="G1015" t="s">
        <v>258</v>
      </c>
      <c r="H1015" t="s">
        <v>234</v>
      </c>
    </row>
    <row r="1016" spans="1:8" x14ac:dyDescent="0.3">
      <c r="A1016">
        <v>1015</v>
      </c>
      <c r="B1016" s="1">
        <v>46020</v>
      </c>
      <c r="C1016" s="2">
        <v>0.71875</v>
      </c>
      <c r="D1016" t="s">
        <v>22</v>
      </c>
      <c r="E1016" t="s">
        <v>23</v>
      </c>
      <c r="F1016">
        <v>2500</v>
      </c>
      <c r="G1016" t="s">
        <v>109</v>
      </c>
      <c r="H1016" t="s">
        <v>234</v>
      </c>
    </row>
    <row r="1017" spans="1:8" x14ac:dyDescent="0.3">
      <c r="A1017">
        <v>1016</v>
      </c>
      <c r="B1017" s="1">
        <v>46020</v>
      </c>
      <c r="C1017" s="2">
        <v>0.76180555555555551</v>
      </c>
      <c r="D1017" t="s">
        <v>8</v>
      </c>
      <c r="E1017" t="s">
        <v>9</v>
      </c>
      <c r="F1017">
        <v>500</v>
      </c>
      <c r="G1017" t="s">
        <v>185</v>
      </c>
      <c r="H1017" t="s">
        <v>234</v>
      </c>
    </row>
    <row r="1018" spans="1:8" x14ac:dyDescent="0.3">
      <c r="A1018">
        <v>1017</v>
      </c>
      <c r="B1018" s="1">
        <v>46020</v>
      </c>
      <c r="C1018" s="2">
        <v>0.76458333333333328</v>
      </c>
      <c r="D1018" t="s">
        <v>8</v>
      </c>
      <c r="E1018" t="s">
        <v>9</v>
      </c>
      <c r="F1018">
        <v>2000</v>
      </c>
      <c r="G1018" t="s">
        <v>20</v>
      </c>
      <c r="H1018" t="s">
        <v>234</v>
      </c>
    </row>
    <row r="1019" spans="1:8" x14ac:dyDescent="0.3">
      <c r="A1019">
        <v>1018</v>
      </c>
      <c r="B1019" s="1">
        <v>46022</v>
      </c>
      <c r="C1019" s="2">
        <v>0.48194444444444445</v>
      </c>
      <c r="D1019" t="s">
        <v>8</v>
      </c>
      <c r="E1019" t="s">
        <v>9</v>
      </c>
      <c r="F1019">
        <v>8</v>
      </c>
      <c r="G1019" t="s">
        <v>24</v>
      </c>
      <c r="H1019" t="s">
        <v>234</v>
      </c>
    </row>
    <row r="1020" spans="1:8" x14ac:dyDescent="0.3">
      <c r="A1020">
        <v>1019</v>
      </c>
      <c r="B1020" s="1">
        <v>46022</v>
      </c>
      <c r="C1020" s="2">
        <v>0.99513888888888891</v>
      </c>
      <c r="D1020" t="s">
        <v>8</v>
      </c>
      <c r="E1020" t="s">
        <v>9</v>
      </c>
      <c r="F1020">
        <v>2854</v>
      </c>
      <c r="G1020" t="s">
        <v>260</v>
      </c>
      <c r="H1020" t="s">
        <v>234</v>
      </c>
    </row>
    <row r="1021" spans="1:8" x14ac:dyDescent="0.3">
      <c r="A1021">
        <v>1020</v>
      </c>
      <c r="B1021" s="1">
        <v>46024</v>
      </c>
      <c r="C1021" s="2">
        <v>0.59722222222222221</v>
      </c>
      <c r="D1021" t="s">
        <v>8</v>
      </c>
      <c r="E1021" t="s">
        <v>9</v>
      </c>
      <c r="F1021">
        <v>500</v>
      </c>
      <c r="G1021" t="s">
        <v>261</v>
      </c>
      <c r="H1021" t="s">
        <v>262</v>
      </c>
    </row>
    <row r="1022" spans="1:8" x14ac:dyDescent="0.3">
      <c r="A1022">
        <v>1021</v>
      </c>
      <c r="B1022" s="1">
        <v>46025</v>
      </c>
      <c r="C1022" s="2">
        <v>8.0555555555555561E-2</v>
      </c>
      <c r="D1022" t="s">
        <v>22</v>
      </c>
      <c r="E1022" t="s">
        <v>23</v>
      </c>
      <c r="F1022">
        <v>500</v>
      </c>
      <c r="G1022" t="s">
        <v>204</v>
      </c>
      <c r="H1022" t="s">
        <v>262</v>
      </c>
    </row>
    <row r="1023" spans="1:8" x14ac:dyDescent="0.3">
      <c r="A1023">
        <v>1022</v>
      </c>
      <c r="B1023" s="1">
        <v>46025</v>
      </c>
      <c r="C1023" s="2">
        <v>0.6958333333333333</v>
      </c>
      <c r="D1023" t="s">
        <v>263</v>
      </c>
      <c r="E1023" t="s">
        <v>9</v>
      </c>
      <c r="F1023">
        <v>319</v>
      </c>
      <c r="G1023" t="s">
        <v>264</v>
      </c>
      <c r="H1023" t="s">
        <v>262</v>
      </c>
    </row>
    <row r="1024" spans="1:8" x14ac:dyDescent="0.3">
      <c r="A1024">
        <v>1023</v>
      </c>
      <c r="B1024" s="1">
        <v>46026</v>
      </c>
      <c r="C1024" s="2">
        <v>0.50486111111111109</v>
      </c>
      <c r="D1024" t="s">
        <v>8</v>
      </c>
      <c r="E1024" t="s">
        <v>9</v>
      </c>
      <c r="F1024">
        <v>260</v>
      </c>
      <c r="G1024" t="s">
        <v>265</v>
      </c>
      <c r="H1024" t="s">
        <v>262</v>
      </c>
    </row>
    <row r="1025" spans="1:8" x14ac:dyDescent="0.3">
      <c r="A1025">
        <v>1024</v>
      </c>
      <c r="B1025" s="1">
        <v>46026</v>
      </c>
      <c r="C1025" s="2">
        <v>0.50555555555555554</v>
      </c>
      <c r="D1025" t="s">
        <v>22</v>
      </c>
      <c r="E1025" t="s">
        <v>23</v>
      </c>
      <c r="F1025">
        <v>260</v>
      </c>
      <c r="G1025" t="s">
        <v>30</v>
      </c>
      <c r="H1025" t="s">
        <v>262</v>
      </c>
    </row>
    <row r="1026" spans="1:8" x14ac:dyDescent="0.3">
      <c r="A1026">
        <v>1025</v>
      </c>
      <c r="B1026" s="1">
        <v>46027</v>
      </c>
      <c r="C1026" s="2">
        <v>0.92500000000000004</v>
      </c>
      <c r="D1026" t="s">
        <v>22</v>
      </c>
      <c r="E1026" t="s">
        <v>23</v>
      </c>
      <c r="F1026">
        <v>10000</v>
      </c>
      <c r="G1026" t="s">
        <v>59</v>
      </c>
      <c r="H1026" t="s">
        <v>262</v>
      </c>
    </row>
    <row r="1027" spans="1:8" x14ac:dyDescent="0.3">
      <c r="A1027">
        <v>1026</v>
      </c>
      <c r="B1027" s="1">
        <v>46027</v>
      </c>
      <c r="C1027" s="2">
        <v>0.95347222222222228</v>
      </c>
      <c r="D1027" t="s">
        <v>8</v>
      </c>
      <c r="E1027" t="s">
        <v>9</v>
      </c>
      <c r="F1027">
        <v>100</v>
      </c>
      <c r="G1027" t="s">
        <v>266</v>
      </c>
      <c r="H1027" t="s">
        <v>262</v>
      </c>
    </row>
    <row r="1028" spans="1:8" x14ac:dyDescent="0.3">
      <c r="A1028">
        <v>1027</v>
      </c>
      <c r="B1028" s="1">
        <v>46028</v>
      </c>
      <c r="C1028" s="2">
        <v>0.78472222222222221</v>
      </c>
      <c r="D1028" t="s">
        <v>8</v>
      </c>
      <c r="E1028" t="s">
        <v>9</v>
      </c>
      <c r="F1028">
        <v>20</v>
      </c>
      <c r="G1028" t="s">
        <v>164</v>
      </c>
      <c r="H1028" t="s">
        <v>262</v>
      </c>
    </row>
    <row r="1029" spans="1:8" x14ac:dyDescent="0.3">
      <c r="A1029">
        <v>1028</v>
      </c>
      <c r="B1029" s="1">
        <v>46029</v>
      </c>
      <c r="C1029" s="2">
        <v>0.75555555555555554</v>
      </c>
      <c r="D1029" t="s">
        <v>8</v>
      </c>
      <c r="E1029" t="s">
        <v>9</v>
      </c>
      <c r="F1029">
        <v>1260</v>
      </c>
      <c r="G1029" t="s">
        <v>24</v>
      </c>
      <c r="H1029" t="s">
        <v>262</v>
      </c>
    </row>
    <row r="1030" spans="1:8" x14ac:dyDescent="0.3">
      <c r="A1030">
        <v>1029</v>
      </c>
      <c r="B1030" s="1">
        <v>46030</v>
      </c>
      <c r="C1030" s="2">
        <v>0.83680555555555558</v>
      </c>
      <c r="D1030" t="s">
        <v>8</v>
      </c>
      <c r="E1030" t="s">
        <v>9</v>
      </c>
      <c r="F1030">
        <v>18</v>
      </c>
      <c r="G1030" t="s">
        <v>166</v>
      </c>
      <c r="H1030" t="s">
        <v>262</v>
      </c>
    </row>
    <row r="1031" spans="1:8" x14ac:dyDescent="0.3">
      <c r="A1031">
        <v>1030</v>
      </c>
      <c r="B1031" s="1">
        <v>46030</v>
      </c>
      <c r="C1031" s="2">
        <v>0.86041666666666672</v>
      </c>
      <c r="D1031" t="s">
        <v>8</v>
      </c>
      <c r="E1031" t="s">
        <v>9</v>
      </c>
      <c r="F1031">
        <v>4000</v>
      </c>
      <c r="G1031" t="s">
        <v>203</v>
      </c>
      <c r="H1031" t="s">
        <v>262</v>
      </c>
    </row>
    <row r="1032" spans="1:8" x14ac:dyDescent="0.3">
      <c r="A1032">
        <v>1031</v>
      </c>
      <c r="B1032" s="1">
        <v>46030</v>
      </c>
      <c r="C1032" s="2">
        <v>0.86111111111111116</v>
      </c>
      <c r="D1032" t="s">
        <v>8</v>
      </c>
      <c r="E1032" t="s">
        <v>9</v>
      </c>
      <c r="F1032">
        <v>3000</v>
      </c>
      <c r="G1032" t="s">
        <v>203</v>
      </c>
      <c r="H1032" t="s">
        <v>262</v>
      </c>
    </row>
    <row r="1033" spans="1:8" x14ac:dyDescent="0.3">
      <c r="A1033">
        <v>1032</v>
      </c>
      <c r="B1033" s="1">
        <v>46030</v>
      </c>
      <c r="C1033" s="2">
        <v>0.90486111111111112</v>
      </c>
      <c r="D1033" t="s">
        <v>8</v>
      </c>
      <c r="E1033" t="s">
        <v>9</v>
      </c>
      <c r="F1033">
        <v>10</v>
      </c>
      <c r="G1033" t="s">
        <v>259</v>
      </c>
      <c r="H1033" t="s">
        <v>262</v>
      </c>
    </row>
    <row r="1034" spans="1:8" x14ac:dyDescent="0.3">
      <c r="A1034">
        <v>1033</v>
      </c>
      <c r="B1034" s="1">
        <v>46030</v>
      </c>
      <c r="C1034" s="2">
        <v>0.99930555555555556</v>
      </c>
      <c r="D1034" t="s">
        <v>8</v>
      </c>
      <c r="E1034" t="s">
        <v>9</v>
      </c>
      <c r="F1034">
        <v>5000</v>
      </c>
      <c r="G1034" t="s">
        <v>20</v>
      </c>
      <c r="H1034" t="s">
        <v>262</v>
      </c>
    </row>
    <row r="1035" spans="1:8" x14ac:dyDescent="0.3">
      <c r="A1035">
        <v>1034</v>
      </c>
      <c r="B1035" s="1">
        <v>46031</v>
      </c>
      <c r="C1035" s="2">
        <v>2.7777777777777779E-3</v>
      </c>
      <c r="D1035" t="s">
        <v>8</v>
      </c>
      <c r="E1035" t="s">
        <v>9</v>
      </c>
      <c r="F1035">
        <v>5000</v>
      </c>
      <c r="G1035" t="s">
        <v>203</v>
      </c>
      <c r="H1035" t="s">
        <v>262</v>
      </c>
    </row>
    <row r="1036" spans="1:8" x14ac:dyDescent="0.3">
      <c r="A1036">
        <v>1035</v>
      </c>
      <c r="B1036" s="1">
        <v>46031</v>
      </c>
      <c r="C1036" s="2">
        <v>0.54097222222222219</v>
      </c>
      <c r="D1036" t="s">
        <v>22</v>
      </c>
      <c r="E1036" t="s">
        <v>23</v>
      </c>
      <c r="F1036">
        <v>30</v>
      </c>
      <c r="G1036" t="s">
        <v>267</v>
      </c>
      <c r="H1036" t="s">
        <v>262</v>
      </c>
    </row>
    <row r="1037" spans="1:8" x14ac:dyDescent="0.3">
      <c r="A1037">
        <v>1036</v>
      </c>
      <c r="B1037" s="1">
        <v>46031</v>
      </c>
      <c r="C1037" s="2">
        <v>0.58194444444444449</v>
      </c>
      <c r="D1037" t="s">
        <v>8</v>
      </c>
      <c r="E1037" t="s">
        <v>9</v>
      </c>
      <c r="F1037">
        <v>30</v>
      </c>
      <c r="G1037" t="s">
        <v>74</v>
      </c>
      <c r="H1037" t="s">
        <v>262</v>
      </c>
    </row>
    <row r="1038" spans="1:8" x14ac:dyDescent="0.3">
      <c r="A1038">
        <v>1037</v>
      </c>
      <c r="B1038" s="1">
        <v>46031</v>
      </c>
      <c r="C1038" s="2">
        <v>0.58333333333333337</v>
      </c>
      <c r="D1038" t="s">
        <v>8</v>
      </c>
      <c r="E1038" t="s">
        <v>9</v>
      </c>
      <c r="F1038">
        <v>10000</v>
      </c>
      <c r="G1038" t="s">
        <v>68</v>
      </c>
      <c r="H1038" t="s">
        <v>262</v>
      </c>
    </row>
    <row r="1039" spans="1:8" x14ac:dyDescent="0.3">
      <c r="A1039">
        <v>1038</v>
      </c>
      <c r="B1039" s="1">
        <v>46031</v>
      </c>
      <c r="C1039" s="2">
        <v>0.58819444444444446</v>
      </c>
      <c r="D1039" t="s">
        <v>8</v>
      </c>
      <c r="E1039" t="s">
        <v>9</v>
      </c>
      <c r="F1039">
        <v>50</v>
      </c>
      <c r="G1039" t="s">
        <v>268</v>
      </c>
      <c r="H1039" t="s">
        <v>262</v>
      </c>
    </row>
    <row r="1040" spans="1:8" x14ac:dyDescent="0.3">
      <c r="A1040">
        <v>1039</v>
      </c>
      <c r="B1040" s="1">
        <v>46031</v>
      </c>
      <c r="C1040" s="2">
        <v>0.72986111111111107</v>
      </c>
      <c r="D1040" t="s">
        <v>8</v>
      </c>
      <c r="E1040" t="s">
        <v>9</v>
      </c>
      <c r="F1040">
        <v>26</v>
      </c>
      <c r="G1040" t="s">
        <v>166</v>
      </c>
      <c r="H1040" t="s">
        <v>262</v>
      </c>
    </row>
    <row r="1041" spans="1:8" x14ac:dyDescent="0.3">
      <c r="A1041">
        <v>1040</v>
      </c>
      <c r="B1041" s="1">
        <v>46031</v>
      </c>
      <c r="C1041" s="2">
        <v>0.72986111111111107</v>
      </c>
      <c r="D1041" t="s">
        <v>8</v>
      </c>
      <c r="E1041" t="s">
        <v>9</v>
      </c>
      <c r="F1041">
        <v>5</v>
      </c>
      <c r="G1041" t="s">
        <v>166</v>
      </c>
      <c r="H1041" t="s">
        <v>262</v>
      </c>
    </row>
    <row r="1042" spans="1:8" x14ac:dyDescent="0.3">
      <c r="A1042">
        <v>1041</v>
      </c>
      <c r="B1042" s="1">
        <v>46031</v>
      </c>
      <c r="C1042" s="2">
        <v>0.83402777777777781</v>
      </c>
      <c r="D1042" t="s">
        <v>8</v>
      </c>
      <c r="E1042" t="s">
        <v>9</v>
      </c>
      <c r="F1042">
        <v>50</v>
      </c>
      <c r="G1042" t="s">
        <v>74</v>
      </c>
      <c r="H1042" t="s">
        <v>262</v>
      </c>
    </row>
    <row r="1043" spans="1:8" x14ac:dyDescent="0.3">
      <c r="A1043">
        <v>1042</v>
      </c>
      <c r="B1043" s="1">
        <v>46031</v>
      </c>
      <c r="C1043" s="2">
        <v>0.95138888888888884</v>
      </c>
      <c r="D1043" t="s">
        <v>8</v>
      </c>
      <c r="E1043" t="s">
        <v>9</v>
      </c>
      <c r="F1043">
        <v>200</v>
      </c>
      <c r="G1043" t="s">
        <v>185</v>
      </c>
      <c r="H1043" t="s">
        <v>262</v>
      </c>
    </row>
    <row r="1044" spans="1:8" x14ac:dyDescent="0.3">
      <c r="A1044">
        <v>1043</v>
      </c>
      <c r="B1044" s="1">
        <v>46032</v>
      </c>
      <c r="C1044" s="2">
        <v>0.53680555555555554</v>
      </c>
      <c r="D1044" t="s">
        <v>8</v>
      </c>
      <c r="E1044" t="s">
        <v>9</v>
      </c>
      <c r="F1044">
        <v>2200</v>
      </c>
      <c r="G1044" t="s">
        <v>185</v>
      </c>
      <c r="H1044" t="s">
        <v>262</v>
      </c>
    </row>
    <row r="1045" spans="1:8" x14ac:dyDescent="0.3">
      <c r="A1045">
        <v>1044</v>
      </c>
      <c r="B1045" s="1">
        <v>46032</v>
      </c>
      <c r="C1045" s="2">
        <v>0.8208333333333333</v>
      </c>
      <c r="D1045" t="s">
        <v>8</v>
      </c>
      <c r="E1045" t="s">
        <v>9</v>
      </c>
      <c r="F1045">
        <v>500</v>
      </c>
      <c r="G1045" t="s">
        <v>74</v>
      </c>
      <c r="H1045" t="s">
        <v>262</v>
      </c>
    </row>
    <row r="1046" spans="1:8" x14ac:dyDescent="0.3">
      <c r="A1046">
        <v>1045</v>
      </c>
      <c r="B1046" s="1">
        <v>46032</v>
      </c>
      <c r="C1046" s="2">
        <v>0.8208333333333333</v>
      </c>
      <c r="D1046" t="s">
        <v>8</v>
      </c>
      <c r="E1046" t="s">
        <v>9</v>
      </c>
      <c r="F1046">
        <v>500</v>
      </c>
      <c r="G1046" t="s">
        <v>203</v>
      </c>
      <c r="H1046" t="s">
        <v>262</v>
      </c>
    </row>
    <row r="1047" spans="1:8" x14ac:dyDescent="0.3">
      <c r="A1047">
        <v>1046</v>
      </c>
      <c r="B1047" s="1">
        <v>46033</v>
      </c>
      <c r="C1047" s="2">
        <v>0.56805555555555554</v>
      </c>
      <c r="D1047" t="s">
        <v>22</v>
      </c>
      <c r="E1047" t="s">
        <v>23</v>
      </c>
      <c r="F1047">
        <v>100</v>
      </c>
      <c r="G1047" t="s">
        <v>35</v>
      </c>
      <c r="H1047" t="s">
        <v>262</v>
      </c>
    </row>
    <row r="1048" spans="1:8" x14ac:dyDescent="0.3">
      <c r="A1048">
        <v>1047</v>
      </c>
      <c r="B1048" s="1">
        <v>46034</v>
      </c>
      <c r="C1048" s="2">
        <v>0.55555555555555558</v>
      </c>
      <c r="D1048" t="s">
        <v>8</v>
      </c>
      <c r="E1048" t="s">
        <v>9</v>
      </c>
      <c r="F1048">
        <v>506</v>
      </c>
      <c r="G1048" t="s">
        <v>269</v>
      </c>
      <c r="H1048" t="s">
        <v>262</v>
      </c>
    </row>
    <row r="1049" spans="1:8" x14ac:dyDescent="0.3">
      <c r="A1049">
        <v>1048</v>
      </c>
      <c r="B1049" s="1">
        <v>46034</v>
      </c>
      <c r="C1049" s="2">
        <v>0.57708333333333328</v>
      </c>
      <c r="D1049" t="s">
        <v>8</v>
      </c>
      <c r="E1049" t="s">
        <v>9</v>
      </c>
      <c r="F1049">
        <v>20</v>
      </c>
      <c r="G1049" t="s">
        <v>74</v>
      </c>
      <c r="H1049" t="s">
        <v>262</v>
      </c>
    </row>
    <row r="1050" spans="1:8" x14ac:dyDescent="0.3">
      <c r="A1050">
        <v>1049</v>
      </c>
      <c r="B1050" s="1">
        <v>46034</v>
      </c>
      <c r="C1050" s="2">
        <v>0.61736111111111114</v>
      </c>
      <c r="D1050" t="s">
        <v>8</v>
      </c>
      <c r="E1050" t="s">
        <v>9</v>
      </c>
      <c r="F1050">
        <v>80</v>
      </c>
      <c r="G1050" t="s">
        <v>12</v>
      </c>
      <c r="H1050" t="s">
        <v>262</v>
      </c>
    </row>
    <row r="1051" spans="1:8" x14ac:dyDescent="0.3">
      <c r="A1051">
        <v>1050</v>
      </c>
      <c r="B1051" s="1">
        <v>46034</v>
      </c>
      <c r="C1051" s="2">
        <v>0.75902777777777775</v>
      </c>
      <c r="D1051" t="s">
        <v>22</v>
      </c>
      <c r="E1051" t="s">
        <v>23</v>
      </c>
      <c r="F1051">
        <v>3000</v>
      </c>
      <c r="G1051" t="s">
        <v>30</v>
      </c>
      <c r="H1051" t="s">
        <v>262</v>
      </c>
    </row>
    <row r="1052" spans="1:8" x14ac:dyDescent="0.3">
      <c r="A1052">
        <v>1051</v>
      </c>
      <c r="B1052" s="1">
        <v>46034</v>
      </c>
      <c r="C1052" s="2">
        <v>0.76180555555555551</v>
      </c>
      <c r="D1052" t="s">
        <v>8</v>
      </c>
      <c r="E1052" t="s">
        <v>9</v>
      </c>
      <c r="F1052">
        <v>2000</v>
      </c>
      <c r="G1052" t="s">
        <v>74</v>
      </c>
      <c r="H1052" t="s">
        <v>262</v>
      </c>
    </row>
    <row r="1053" spans="1:8" x14ac:dyDescent="0.3">
      <c r="A1053">
        <v>1052</v>
      </c>
      <c r="B1053" s="1">
        <v>46034</v>
      </c>
      <c r="C1053" s="2">
        <v>0.84305555555555556</v>
      </c>
      <c r="D1053" t="s">
        <v>22</v>
      </c>
      <c r="E1053" t="s">
        <v>23</v>
      </c>
      <c r="F1053">
        <v>500</v>
      </c>
      <c r="G1053" t="s">
        <v>178</v>
      </c>
      <c r="H1053" t="s">
        <v>262</v>
      </c>
    </row>
    <row r="1054" spans="1:8" x14ac:dyDescent="0.3">
      <c r="A1054">
        <v>1053</v>
      </c>
      <c r="B1054" s="1">
        <v>46034</v>
      </c>
      <c r="C1054" s="2">
        <v>0.87847222222222221</v>
      </c>
      <c r="D1054" t="s">
        <v>8</v>
      </c>
      <c r="E1054" t="s">
        <v>9</v>
      </c>
      <c r="F1054">
        <v>500</v>
      </c>
      <c r="G1054" t="s">
        <v>74</v>
      </c>
      <c r="H1054" t="s">
        <v>262</v>
      </c>
    </row>
    <row r="1055" spans="1:8" x14ac:dyDescent="0.3">
      <c r="A1055">
        <v>1054</v>
      </c>
      <c r="B1055" s="1">
        <v>46034</v>
      </c>
      <c r="C1055" s="2">
        <v>0.87847222222222221</v>
      </c>
      <c r="D1055" t="s">
        <v>8</v>
      </c>
      <c r="E1055" t="s">
        <v>9</v>
      </c>
      <c r="F1055">
        <v>506</v>
      </c>
      <c r="G1055" t="s">
        <v>225</v>
      </c>
      <c r="H1055" t="s">
        <v>262</v>
      </c>
    </row>
    <row r="1056" spans="1:8" x14ac:dyDescent="0.3">
      <c r="A1056">
        <v>1055</v>
      </c>
      <c r="B1056" s="1">
        <v>46034</v>
      </c>
      <c r="C1056" s="2">
        <v>0.87916666666666665</v>
      </c>
      <c r="D1056" t="s">
        <v>8</v>
      </c>
      <c r="E1056" t="s">
        <v>9</v>
      </c>
      <c r="F1056">
        <v>500</v>
      </c>
      <c r="G1056" t="s">
        <v>74</v>
      </c>
      <c r="H1056" t="s">
        <v>262</v>
      </c>
    </row>
    <row r="1057" spans="1:8" x14ac:dyDescent="0.3">
      <c r="A1057">
        <v>1056</v>
      </c>
      <c r="B1057" s="1">
        <v>46035</v>
      </c>
      <c r="C1057" s="2">
        <v>0.24097222222222223</v>
      </c>
      <c r="D1057" t="s">
        <v>22</v>
      </c>
      <c r="E1057" t="s">
        <v>23</v>
      </c>
      <c r="F1057">
        <v>5000</v>
      </c>
      <c r="G1057" t="s">
        <v>59</v>
      </c>
      <c r="H1057" t="s">
        <v>262</v>
      </c>
    </row>
    <row r="1058" spans="1:8" x14ac:dyDescent="0.3">
      <c r="A1058">
        <v>1057</v>
      </c>
      <c r="B1058" s="1">
        <v>46035</v>
      </c>
      <c r="C1058" s="2">
        <v>0.24930555555555556</v>
      </c>
      <c r="D1058" t="s">
        <v>38</v>
      </c>
      <c r="E1058" t="s">
        <v>9</v>
      </c>
      <c r="F1058">
        <v>2000</v>
      </c>
      <c r="G1058" t="s">
        <v>270</v>
      </c>
      <c r="H1058" t="s">
        <v>262</v>
      </c>
    </row>
    <row r="1059" spans="1:8" x14ac:dyDescent="0.3">
      <c r="A1059">
        <v>1058</v>
      </c>
      <c r="B1059" s="1">
        <v>46035</v>
      </c>
      <c r="C1059" s="2">
        <v>0.35972222222222222</v>
      </c>
      <c r="D1059" t="s">
        <v>8</v>
      </c>
      <c r="E1059" t="s">
        <v>9</v>
      </c>
      <c r="F1059">
        <v>2000</v>
      </c>
      <c r="G1059" t="s">
        <v>271</v>
      </c>
      <c r="H1059" t="s">
        <v>262</v>
      </c>
    </row>
    <row r="1060" spans="1:8" x14ac:dyDescent="0.3">
      <c r="A1060">
        <v>1059</v>
      </c>
      <c r="B1060" s="1">
        <v>46035</v>
      </c>
      <c r="C1060" s="2">
        <v>0.36180555555555555</v>
      </c>
      <c r="D1060" t="s">
        <v>8</v>
      </c>
      <c r="E1060" t="s">
        <v>9</v>
      </c>
      <c r="F1060">
        <v>1000</v>
      </c>
      <c r="G1060" t="s">
        <v>271</v>
      </c>
      <c r="H1060" t="s">
        <v>262</v>
      </c>
    </row>
    <row r="1061" spans="1:8" x14ac:dyDescent="0.3">
      <c r="A1061">
        <v>1060</v>
      </c>
      <c r="B1061" s="1">
        <v>46035</v>
      </c>
      <c r="C1061" s="2">
        <v>0.78194444444444444</v>
      </c>
      <c r="D1061" t="s">
        <v>8</v>
      </c>
      <c r="E1061" t="s">
        <v>9</v>
      </c>
      <c r="F1061">
        <v>2000</v>
      </c>
      <c r="G1061" t="s">
        <v>185</v>
      </c>
      <c r="H1061" t="s">
        <v>262</v>
      </c>
    </row>
    <row r="1062" spans="1:8" x14ac:dyDescent="0.3">
      <c r="A1062">
        <v>1061</v>
      </c>
      <c r="B1062" s="1">
        <v>46037</v>
      </c>
      <c r="C1062" s="2">
        <v>0.6875</v>
      </c>
      <c r="D1062" t="s">
        <v>8</v>
      </c>
      <c r="E1062" t="s">
        <v>9</v>
      </c>
      <c r="F1062">
        <v>10800</v>
      </c>
      <c r="G1062" t="s">
        <v>59</v>
      </c>
      <c r="H1062" t="s">
        <v>262</v>
      </c>
    </row>
    <row r="1063" spans="1:8" x14ac:dyDescent="0.3">
      <c r="A1063">
        <v>1062</v>
      </c>
      <c r="B1063" s="1">
        <v>46037</v>
      </c>
      <c r="C1063" s="2">
        <v>0.68819444444444444</v>
      </c>
      <c r="D1063" t="s">
        <v>8</v>
      </c>
      <c r="E1063" t="s">
        <v>9</v>
      </c>
      <c r="F1063">
        <v>500</v>
      </c>
      <c r="G1063" t="s">
        <v>68</v>
      </c>
      <c r="H1063" t="s">
        <v>262</v>
      </c>
    </row>
    <row r="1064" spans="1:8" x14ac:dyDescent="0.3">
      <c r="A1064">
        <v>1063</v>
      </c>
      <c r="B1064" s="1">
        <v>46038</v>
      </c>
      <c r="C1064" s="2">
        <v>0.81458333333333333</v>
      </c>
      <c r="D1064" t="s">
        <v>8</v>
      </c>
      <c r="E1064" t="s">
        <v>9</v>
      </c>
      <c r="F1064">
        <v>39</v>
      </c>
      <c r="G1064" t="s">
        <v>272</v>
      </c>
      <c r="H1064" t="s">
        <v>262</v>
      </c>
    </row>
    <row r="1065" spans="1:8" x14ac:dyDescent="0.3">
      <c r="A1065">
        <v>1064</v>
      </c>
      <c r="B1065" s="1">
        <v>46039</v>
      </c>
      <c r="C1065" s="2">
        <v>0.54305555555555551</v>
      </c>
      <c r="D1065" t="s">
        <v>8</v>
      </c>
      <c r="E1065" t="s">
        <v>9</v>
      </c>
      <c r="F1065">
        <v>20</v>
      </c>
      <c r="G1065" t="s">
        <v>166</v>
      </c>
      <c r="H1065" t="s">
        <v>262</v>
      </c>
    </row>
    <row r="1066" spans="1:8" x14ac:dyDescent="0.3">
      <c r="A1066">
        <v>1065</v>
      </c>
      <c r="B1066" s="1">
        <v>46039</v>
      </c>
      <c r="C1066" s="2">
        <v>0.78541666666666665</v>
      </c>
      <c r="D1066" t="s">
        <v>22</v>
      </c>
      <c r="E1066" t="s">
        <v>23</v>
      </c>
      <c r="F1066">
        <v>500</v>
      </c>
      <c r="G1066" t="s">
        <v>30</v>
      </c>
      <c r="H1066" t="s">
        <v>262</v>
      </c>
    </row>
    <row r="1067" spans="1:8" x14ac:dyDescent="0.3">
      <c r="A1067">
        <v>1066</v>
      </c>
      <c r="B1067" s="1">
        <v>46039</v>
      </c>
      <c r="C1067" s="2">
        <v>0.96111111111111114</v>
      </c>
      <c r="D1067" t="s">
        <v>8</v>
      </c>
      <c r="E1067" t="s">
        <v>9</v>
      </c>
      <c r="F1067">
        <v>100</v>
      </c>
      <c r="G1067" t="s">
        <v>185</v>
      </c>
      <c r="H1067" t="s">
        <v>262</v>
      </c>
    </row>
    <row r="1068" spans="1:8" x14ac:dyDescent="0.3">
      <c r="A1068">
        <v>1067</v>
      </c>
      <c r="B1068" s="1">
        <v>46040</v>
      </c>
      <c r="C1068" s="2">
        <v>0.55208333333333337</v>
      </c>
      <c r="D1068" t="s">
        <v>22</v>
      </c>
      <c r="E1068" t="s">
        <v>23</v>
      </c>
      <c r="F1068">
        <v>60</v>
      </c>
      <c r="G1068" t="s">
        <v>29</v>
      </c>
      <c r="H1068" t="s">
        <v>262</v>
      </c>
    </row>
    <row r="1069" spans="1:8" x14ac:dyDescent="0.3">
      <c r="A1069">
        <v>1068</v>
      </c>
      <c r="B1069" s="1">
        <v>46040</v>
      </c>
      <c r="C1069" s="2">
        <v>0.75763888888888886</v>
      </c>
      <c r="D1069" t="s">
        <v>8</v>
      </c>
      <c r="E1069" t="s">
        <v>9</v>
      </c>
      <c r="F1069">
        <v>300</v>
      </c>
      <c r="G1069" t="s">
        <v>185</v>
      </c>
      <c r="H1069" t="s">
        <v>262</v>
      </c>
    </row>
    <row r="1070" spans="1:8" x14ac:dyDescent="0.3">
      <c r="A1070">
        <v>1069</v>
      </c>
      <c r="B1070" s="1">
        <v>46041</v>
      </c>
      <c r="C1070" s="2">
        <v>0.75</v>
      </c>
      <c r="D1070" t="s">
        <v>38</v>
      </c>
      <c r="E1070" t="s">
        <v>9</v>
      </c>
      <c r="F1070">
        <v>85</v>
      </c>
      <c r="G1070" t="s">
        <v>205</v>
      </c>
      <c r="H1070" t="s">
        <v>262</v>
      </c>
    </row>
    <row r="1071" spans="1:8" x14ac:dyDescent="0.3">
      <c r="A1071">
        <v>1070</v>
      </c>
      <c r="B1071" s="1">
        <v>46041</v>
      </c>
      <c r="C1071" s="2">
        <v>0.77083333333333337</v>
      </c>
      <c r="D1071" t="s">
        <v>8</v>
      </c>
      <c r="E1071" t="s">
        <v>9</v>
      </c>
      <c r="F1071">
        <v>220</v>
      </c>
      <c r="G1071" t="s">
        <v>198</v>
      </c>
      <c r="H1071" t="s">
        <v>262</v>
      </c>
    </row>
    <row r="1072" spans="1:8" x14ac:dyDescent="0.3">
      <c r="A1072">
        <v>1071</v>
      </c>
      <c r="B1072" s="1">
        <v>46041</v>
      </c>
      <c r="C1072" s="2">
        <v>0.91388888888888886</v>
      </c>
      <c r="D1072" t="s">
        <v>8</v>
      </c>
      <c r="E1072" t="s">
        <v>9</v>
      </c>
      <c r="F1072">
        <v>20</v>
      </c>
      <c r="G1072" t="s">
        <v>74</v>
      </c>
      <c r="H1072" t="s">
        <v>262</v>
      </c>
    </row>
    <row r="1073" spans="1:8" x14ac:dyDescent="0.3">
      <c r="A1073">
        <v>1072</v>
      </c>
      <c r="B1073" s="1">
        <v>46041</v>
      </c>
      <c r="C1073" s="2">
        <v>0.95347222222222228</v>
      </c>
      <c r="D1073" t="s">
        <v>8</v>
      </c>
      <c r="E1073" t="s">
        <v>9</v>
      </c>
      <c r="F1073">
        <v>400</v>
      </c>
      <c r="G1073" t="s">
        <v>273</v>
      </c>
      <c r="H1073" t="s">
        <v>262</v>
      </c>
    </row>
    <row r="1074" spans="1:8" x14ac:dyDescent="0.3">
      <c r="A1074">
        <v>1073</v>
      </c>
      <c r="B1074" s="1">
        <v>46041</v>
      </c>
      <c r="C1074" s="2">
        <v>0.97291666666666665</v>
      </c>
      <c r="D1074" t="s">
        <v>22</v>
      </c>
      <c r="E1074" t="s">
        <v>23</v>
      </c>
      <c r="F1074">
        <v>400</v>
      </c>
      <c r="G1074" t="s">
        <v>274</v>
      </c>
      <c r="H1074" t="s">
        <v>262</v>
      </c>
    </row>
    <row r="1075" spans="1:8" x14ac:dyDescent="0.3">
      <c r="A1075">
        <v>1074</v>
      </c>
      <c r="B1075" s="1">
        <v>46042</v>
      </c>
      <c r="C1075" s="2">
        <v>0.60972222222222228</v>
      </c>
      <c r="D1075" t="s">
        <v>8</v>
      </c>
      <c r="E1075" t="s">
        <v>9</v>
      </c>
      <c r="F1075">
        <v>2000</v>
      </c>
      <c r="G1075" t="s">
        <v>185</v>
      </c>
      <c r="H1075" t="s">
        <v>262</v>
      </c>
    </row>
    <row r="1076" spans="1:8" x14ac:dyDescent="0.3">
      <c r="A1076">
        <v>1075</v>
      </c>
      <c r="B1076" s="1">
        <v>46042</v>
      </c>
      <c r="C1076" s="2">
        <v>0.67083333333333328</v>
      </c>
      <c r="D1076" t="s">
        <v>22</v>
      </c>
      <c r="E1076" t="s">
        <v>23</v>
      </c>
      <c r="F1076">
        <v>100</v>
      </c>
      <c r="G1076" t="s">
        <v>74</v>
      </c>
      <c r="H1076" t="s">
        <v>262</v>
      </c>
    </row>
    <row r="1077" spans="1:8" x14ac:dyDescent="0.3">
      <c r="A1077">
        <v>1076</v>
      </c>
      <c r="B1077" s="1">
        <v>46042</v>
      </c>
      <c r="C1077" s="2">
        <v>0.67083333333333328</v>
      </c>
      <c r="D1077" t="s">
        <v>8</v>
      </c>
      <c r="E1077" t="s">
        <v>9</v>
      </c>
      <c r="F1077">
        <v>99</v>
      </c>
      <c r="G1077" t="s">
        <v>275</v>
      </c>
      <c r="H1077" t="s">
        <v>262</v>
      </c>
    </row>
    <row r="1078" spans="1:8" x14ac:dyDescent="0.3">
      <c r="A1078">
        <v>1077</v>
      </c>
      <c r="B1078" s="1">
        <v>46042</v>
      </c>
      <c r="C1078" s="2">
        <v>0.86250000000000004</v>
      </c>
      <c r="D1078" t="s">
        <v>14</v>
      </c>
      <c r="E1078" t="s">
        <v>9</v>
      </c>
      <c r="F1078">
        <v>353</v>
      </c>
      <c r="G1078" t="s">
        <v>36</v>
      </c>
      <c r="H1078" t="s">
        <v>262</v>
      </c>
    </row>
    <row r="1079" spans="1:8" x14ac:dyDescent="0.3">
      <c r="A1079">
        <v>1078</v>
      </c>
      <c r="B1079" s="1">
        <v>46043</v>
      </c>
      <c r="C1079" s="2">
        <v>0.8041666666666667</v>
      </c>
      <c r="D1079" t="s">
        <v>8</v>
      </c>
      <c r="E1079" t="s">
        <v>9</v>
      </c>
      <c r="F1079">
        <v>1500</v>
      </c>
      <c r="G1079" t="s">
        <v>276</v>
      </c>
      <c r="H1079" t="s">
        <v>262</v>
      </c>
    </row>
    <row r="1080" spans="1:8" x14ac:dyDescent="0.3">
      <c r="A1080">
        <v>1079</v>
      </c>
      <c r="B1080" s="1">
        <v>46044</v>
      </c>
      <c r="C1080" s="2">
        <v>0.56805555555555554</v>
      </c>
      <c r="D1080" t="s">
        <v>8</v>
      </c>
      <c r="E1080" t="s">
        <v>9</v>
      </c>
      <c r="F1080">
        <v>100</v>
      </c>
      <c r="G1080" t="s">
        <v>185</v>
      </c>
      <c r="H1080" t="s">
        <v>262</v>
      </c>
    </row>
    <row r="1081" spans="1:8" x14ac:dyDescent="0.3">
      <c r="A1081">
        <v>1080</v>
      </c>
      <c r="B1081" s="1">
        <v>46044</v>
      </c>
      <c r="C1081" s="2">
        <v>0.59305555555555556</v>
      </c>
      <c r="D1081" t="s">
        <v>22</v>
      </c>
      <c r="E1081" t="s">
        <v>23</v>
      </c>
      <c r="F1081">
        <v>1500</v>
      </c>
      <c r="G1081" t="s">
        <v>59</v>
      </c>
      <c r="H1081" t="s">
        <v>262</v>
      </c>
    </row>
    <row r="1082" spans="1:8" x14ac:dyDescent="0.3">
      <c r="A1082">
        <v>1081</v>
      </c>
      <c r="B1082" s="1">
        <v>46044</v>
      </c>
      <c r="C1082" s="2">
        <v>0.59583333333333333</v>
      </c>
      <c r="D1082" t="s">
        <v>8</v>
      </c>
      <c r="E1082" t="s">
        <v>9</v>
      </c>
      <c r="F1082">
        <v>1500</v>
      </c>
      <c r="G1082" t="s">
        <v>277</v>
      </c>
      <c r="H1082" t="s">
        <v>262</v>
      </c>
    </row>
    <row r="1083" spans="1:8" x14ac:dyDescent="0.3">
      <c r="A1083">
        <v>1082</v>
      </c>
      <c r="B1083" s="1">
        <v>46045</v>
      </c>
      <c r="C1083" s="2">
        <v>0.45555555555555555</v>
      </c>
      <c r="D1083" t="s">
        <v>8</v>
      </c>
      <c r="E1083" t="s">
        <v>9</v>
      </c>
      <c r="F1083">
        <v>3998</v>
      </c>
      <c r="G1083" t="s">
        <v>68</v>
      </c>
      <c r="H1083" t="s">
        <v>262</v>
      </c>
    </row>
    <row r="1084" spans="1:8" x14ac:dyDescent="0.3">
      <c r="A1084">
        <v>1083</v>
      </c>
      <c r="B1084" s="1">
        <v>46045</v>
      </c>
      <c r="C1084" s="2">
        <v>0.52986111111111112</v>
      </c>
      <c r="D1084" t="s">
        <v>22</v>
      </c>
      <c r="E1084" t="s">
        <v>23</v>
      </c>
      <c r="F1084">
        <v>20</v>
      </c>
      <c r="G1084" t="s">
        <v>278</v>
      </c>
      <c r="H1084" t="s">
        <v>262</v>
      </c>
    </row>
    <row r="1085" spans="1:8" x14ac:dyDescent="0.3">
      <c r="A1085">
        <v>1084</v>
      </c>
      <c r="B1085" s="1">
        <v>46047</v>
      </c>
      <c r="C1085" s="2">
        <v>0.65069444444444446</v>
      </c>
      <c r="D1085" t="s">
        <v>8</v>
      </c>
      <c r="E1085" t="s">
        <v>9</v>
      </c>
      <c r="F1085">
        <v>1000</v>
      </c>
      <c r="G1085" t="s">
        <v>68</v>
      </c>
      <c r="H1085" t="s">
        <v>262</v>
      </c>
    </row>
    <row r="1086" spans="1:8" x14ac:dyDescent="0.3">
      <c r="A1086">
        <v>1085</v>
      </c>
      <c r="B1086" s="1">
        <v>46048</v>
      </c>
      <c r="C1086" s="2">
        <v>0.62569444444444444</v>
      </c>
      <c r="D1086" t="s">
        <v>8</v>
      </c>
      <c r="E1086" t="s">
        <v>9</v>
      </c>
      <c r="F1086">
        <v>400</v>
      </c>
      <c r="G1086" t="s">
        <v>225</v>
      </c>
      <c r="H1086" t="s">
        <v>262</v>
      </c>
    </row>
    <row r="1087" spans="1:8" x14ac:dyDescent="0.3">
      <c r="A1087">
        <v>1086</v>
      </c>
      <c r="B1087" s="1">
        <v>46048</v>
      </c>
      <c r="C1087" s="2">
        <v>0.65972222222222221</v>
      </c>
      <c r="D1087" t="s">
        <v>8</v>
      </c>
      <c r="E1087" t="s">
        <v>9</v>
      </c>
      <c r="F1087">
        <v>600</v>
      </c>
      <c r="G1087" t="s">
        <v>203</v>
      </c>
      <c r="H1087" t="s">
        <v>262</v>
      </c>
    </row>
    <row r="1088" spans="1:8" x14ac:dyDescent="0.3">
      <c r="A1088">
        <v>1087</v>
      </c>
      <c r="B1088" s="1">
        <v>46048</v>
      </c>
      <c r="C1088" s="2">
        <v>0.66041666666666665</v>
      </c>
      <c r="D1088" t="s">
        <v>8</v>
      </c>
      <c r="E1088" t="s">
        <v>9</v>
      </c>
      <c r="F1088">
        <v>900</v>
      </c>
      <c r="G1088" t="s">
        <v>185</v>
      </c>
      <c r="H1088" t="s">
        <v>262</v>
      </c>
    </row>
    <row r="1089" spans="1:8" x14ac:dyDescent="0.3">
      <c r="A1089">
        <v>1088</v>
      </c>
      <c r="B1089" s="1">
        <v>46049</v>
      </c>
      <c r="C1089" s="2">
        <v>0.64097222222222228</v>
      </c>
      <c r="D1089" t="s">
        <v>8</v>
      </c>
      <c r="E1089" t="s">
        <v>9</v>
      </c>
      <c r="F1089">
        <v>4000</v>
      </c>
      <c r="G1089" t="s">
        <v>68</v>
      </c>
      <c r="H1089" t="s">
        <v>262</v>
      </c>
    </row>
    <row r="1090" spans="1:8" x14ac:dyDescent="0.3">
      <c r="A1090">
        <v>1089</v>
      </c>
      <c r="B1090" s="1">
        <v>46049</v>
      </c>
      <c r="C1090" s="2">
        <v>0.6430555555555556</v>
      </c>
      <c r="D1090" t="s">
        <v>22</v>
      </c>
      <c r="E1090" t="s">
        <v>23</v>
      </c>
      <c r="F1090">
        <v>100</v>
      </c>
      <c r="G1090" t="s">
        <v>30</v>
      </c>
      <c r="H1090" t="s">
        <v>262</v>
      </c>
    </row>
    <row r="1091" spans="1:8" x14ac:dyDescent="0.3">
      <c r="A1091">
        <v>1090</v>
      </c>
      <c r="B1091" s="1">
        <v>46049</v>
      </c>
      <c r="C1091" s="2">
        <v>0.64375000000000004</v>
      </c>
      <c r="D1091" t="s">
        <v>22</v>
      </c>
      <c r="E1091" t="s">
        <v>23</v>
      </c>
      <c r="F1091">
        <v>20</v>
      </c>
      <c r="G1091" t="s">
        <v>30</v>
      </c>
      <c r="H1091" t="s">
        <v>262</v>
      </c>
    </row>
    <row r="1092" spans="1:8" x14ac:dyDescent="0.3">
      <c r="A1092">
        <v>1091</v>
      </c>
      <c r="B1092" s="1">
        <v>46050</v>
      </c>
      <c r="C1092" s="2">
        <v>0.52013888888888893</v>
      </c>
      <c r="D1092" t="s">
        <v>22</v>
      </c>
      <c r="E1092" t="s">
        <v>23</v>
      </c>
      <c r="F1092">
        <v>5000</v>
      </c>
      <c r="G1092" t="s">
        <v>59</v>
      </c>
      <c r="H1092" t="s">
        <v>262</v>
      </c>
    </row>
    <row r="1093" spans="1:8" x14ac:dyDescent="0.3">
      <c r="A1093">
        <v>1092</v>
      </c>
      <c r="B1093" s="1">
        <v>46050</v>
      </c>
      <c r="C1093" s="2">
        <v>0.83472222222222225</v>
      </c>
      <c r="D1093" t="s">
        <v>8</v>
      </c>
      <c r="E1093" t="s">
        <v>9</v>
      </c>
      <c r="F1093">
        <v>2000</v>
      </c>
      <c r="G1093" t="s">
        <v>35</v>
      </c>
      <c r="H1093" t="s">
        <v>262</v>
      </c>
    </row>
    <row r="1094" spans="1:8" x14ac:dyDescent="0.3">
      <c r="A1094">
        <v>1093</v>
      </c>
      <c r="B1094" s="1">
        <v>46050</v>
      </c>
      <c r="C1094" s="2">
        <v>0.92847222222222225</v>
      </c>
      <c r="D1094" t="s">
        <v>8</v>
      </c>
      <c r="E1094" t="s">
        <v>9</v>
      </c>
      <c r="F1094">
        <v>3000</v>
      </c>
      <c r="G1094" t="s">
        <v>68</v>
      </c>
      <c r="H1094" t="s">
        <v>262</v>
      </c>
    </row>
    <row r="1095" spans="1:8" x14ac:dyDescent="0.3">
      <c r="A1095">
        <v>1094</v>
      </c>
      <c r="B1095" s="1">
        <v>46051</v>
      </c>
      <c r="C1095" s="2">
        <v>0.45624999999999999</v>
      </c>
      <c r="D1095" t="s">
        <v>22</v>
      </c>
      <c r="E1095" t="s">
        <v>23</v>
      </c>
      <c r="F1095">
        <v>80</v>
      </c>
      <c r="G1095" t="s">
        <v>59</v>
      </c>
      <c r="H1095" t="s">
        <v>262</v>
      </c>
    </row>
    <row r="1096" spans="1:8" x14ac:dyDescent="0.3">
      <c r="A1096">
        <v>1095</v>
      </c>
      <c r="B1096" s="1">
        <v>46051</v>
      </c>
      <c r="C1096" s="2">
        <v>0.73750000000000004</v>
      </c>
      <c r="D1096" t="s">
        <v>8</v>
      </c>
      <c r="E1096" t="s">
        <v>9</v>
      </c>
      <c r="F1096">
        <v>1500</v>
      </c>
      <c r="G1096" t="s">
        <v>185</v>
      </c>
      <c r="H1096" t="s">
        <v>262</v>
      </c>
    </row>
    <row r="1097" spans="1:8" x14ac:dyDescent="0.3">
      <c r="A1097">
        <v>1096</v>
      </c>
      <c r="B1097" s="1">
        <v>46051</v>
      </c>
      <c r="C1097" s="2">
        <v>0.76041666666666663</v>
      </c>
      <c r="D1097" t="s">
        <v>22</v>
      </c>
      <c r="E1097" t="s">
        <v>23</v>
      </c>
      <c r="F1097">
        <v>30000</v>
      </c>
      <c r="G1097" t="s">
        <v>279</v>
      </c>
      <c r="H1097" t="s">
        <v>262</v>
      </c>
    </row>
    <row r="1098" spans="1:8" x14ac:dyDescent="0.3">
      <c r="A1098">
        <v>1097</v>
      </c>
      <c r="B1098" s="1">
        <v>46051</v>
      </c>
      <c r="C1098" s="2">
        <v>0.83333333333333337</v>
      </c>
      <c r="D1098" t="s">
        <v>8</v>
      </c>
      <c r="E1098" t="s">
        <v>9</v>
      </c>
      <c r="F1098">
        <v>50</v>
      </c>
      <c r="G1098" t="s">
        <v>253</v>
      </c>
      <c r="H1098" t="s">
        <v>262</v>
      </c>
    </row>
    <row r="1099" spans="1:8" x14ac:dyDescent="0.3">
      <c r="A1099">
        <v>1098</v>
      </c>
      <c r="B1099" s="1">
        <v>46051</v>
      </c>
      <c r="C1099" s="2">
        <v>0.83611111111111114</v>
      </c>
      <c r="D1099" t="s">
        <v>8</v>
      </c>
      <c r="E1099" t="s">
        <v>9</v>
      </c>
      <c r="F1099">
        <v>200</v>
      </c>
      <c r="G1099" t="s">
        <v>185</v>
      </c>
      <c r="H1099" t="s">
        <v>262</v>
      </c>
    </row>
    <row r="1100" spans="1:8" x14ac:dyDescent="0.3">
      <c r="A1100">
        <v>1099</v>
      </c>
      <c r="B1100" s="1">
        <v>46051</v>
      </c>
      <c r="C1100" s="2">
        <v>0.84166666666666667</v>
      </c>
      <c r="D1100" t="s">
        <v>8</v>
      </c>
      <c r="E1100" t="s">
        <v>9</v>
      </c>
      <c r="F1100">
        <v>150</v>
      </c>
      <c r="G1100" t="s">
        <v>185</v>
      </c>
      <c r="H1100" t="s">
        <v>262</v>
      </c>
    </row>
    <row r="1101" spans="1:8" x14ac:dyDescent="0.3">
      <c r="A1101">
        <v>1100</v>
      </c>
      <c r="B1101" s="1">
        <v>46051</v>
      </c>
      <c r="C1101" s="2">
        <v>0.86944444444444446</v>
      </c>
      <c r="D1101" t="s">
        <v>8</v>
      </c>
      <c r="E1101" t="s">
        <v>9</v>
      </c>
      <c r="F1101">
        <v>40</v>
      </c>
      <c r="G1101" t="s">
        <v>280</v>
      </c>
      <c r="H1101" t="s">
        <v>262</v>
      </c>
    </row>
    <row r="1102" spans="1:8" x14ac:dyDescent="0.3">
      <c r="A1102">
        <v>1101</v>
      </c>
      <c r="B1102" s="1">
        <v>46052</v>
      </c>
      <c r="C1102" s="2">
        <v>0.41111111111111109</v>
      </c>
      <c r="D1102" t="s">
        <v>8</v>
      </c>
      <c r="E1102" t="s">
        <v>9</v>
      </c>
      <c r="F1102">
        <v>5000</v>
      </c>
      <c r="G1102" t="s">
        <v>160</v>
      </c>
      <c r="H1102" t="s">
        <v>262</v>
      </c>
    </row>
    <row r="1103" spans="1:8" x14ac:dyDescent="0.3">
      <c r="A1103">
        <v>1102</v>
      </c>
      <c r="B1103" s="1">
        <v>46052</v>
      </c>
      <c r="C1103" s="2">
        <v>0.47222222222222221</v>
      </c>
      <c r="D1103" t="s">
        <v>8</v>
      </c>
      <c r="E1103" t="s">
        <v>9</v>
      </c>
      <c r="F1103">
        <v>40</v>
      </c>
      <c r="G1103" t="s">
        <v>281</v>
      </c>
      <c r="H1103" t="s">
        <v>262</v>
      </c>
    </row>
    <row r="1104" spans="1:8" x14ac:dyDescent="0.3">
      <c r="A1104">
        <v>1103</v>
      </c>
      <c r="B1104" s="1">
        <v>46052</v>
      </c>
      <c r="C1104" s="2">
        <v>0.47430555555555554</v>
      </c>
      <c r="D1104" t="s">
        <v>8</v>
      </c>
      <c r="E1104" t="s">
        <v>9</v>
      </c>
      <c r="F1104">
        <v>50</v>
      </c>
      <c r="G1104" t="s">
        <v>253</v>
      </c>
      <c r="H1104" t="s">
        <v>262</v>
      </c>
    </row>
    <row r="1105" spans="1:8" x14ac:dyDescent="0.3">
      <c r="A1105">
        <v>1104</v>
      </c>
      <c r="B1105" s="1">
        <v>46052</v>
      </c>
      <c r="C1105" s="2">
        <v>0.5708333333333333</v>
      </c>
      <c r="D1105" t="s">
        <v>8</v>
      </c>
      <c r="E1105" t="s">
        <v>9</v>
      </c>
      <c r="F1105">
        <v>6000</v>
      </c>
      <c r="G1105" t="s">
        <v>276</v>
      </c>
      <c r="H1105" t="s">
        <v>262</v>
      </c>
    </row>
    <row r="1106" spans="1:8" x14ac:dyDescent="0.3">
      <c r="A1106">
        <v>1105</v>
      </c>
      <c r="B1106" s="1">
        <v>46052</v>
      </c>
      <c r="C1106" s="2">
        <v>0.6381944444444444</v>
      </c>
      <c r="D1106" t="s">
        <v>8</v>
      </c>
      <c r="E1106" t="s">
        <v>9</v>
      </c>
      <c r="F1106">
        <v>150</v>
      </c>
      <c r="G1106" t="s">
        <v>20</v>
      </c>
      <c r="H1106" t="s">
        <v>262</v>
      </c>
    </row>
    <row r="1107" spans="1:8" x14ac:dyDescent="0.3">
      <c r="A1107">
        <v>1106</v>
      </c>
      <c r="B1107" s="1">
        <v>46053</v>
      </c>
      <c r="C1107" s="2">
        <v>0.42708333333333331</v>
      </c>
      <c r="D1107" t="s">
        <v>22</v>
      </c>
      <c r="E1107" t="s">
        <v>23</v>
      </c>
      <c r="F1107">
        <v>5000</v>
      </c>
      <c r="G1107" t="s">
        <v>282</v>
      </c>
      <c r="H1107" t="s">
        <v>262</v>
      </c>
    </row>
    <row r="1108" spans="1:8" x14ac:dyDescent="0.3">
      <c r="A1108">
        <v>1107</v>
      </c>
      <c r="B1108" s="1">
        <v>46053</v>
      </c>
      <c r="C1108" s="2">
        <v>0.59583333333333333</v>
      </c>
      <c r="D1108" t="s">
        <v>8</v>
      </c>
      <c r="E1108" t="s">
        <v>9</v>
      </c>
      <c r="F1108">
        <v>500</v>
      </c>
      <c r="G1108" t="s">
        <v>156</v>
      </c>
      <c r="H1108" t="s">
        <v>262</v>
      </c>
    </row>
    <row r="1109" spans="1:8" x14ac:dyDescent="0.3">
      <c r="A1109">
        <v>1108</v>
      </c>
      <c r="B1109" s="1">
        <v>46053</v>
      </c>
      <c r="C1109" s="2">
        <v>0.62777777777777777</v>
      </c>
      <c r="D1109" t="s">
        <v>22</v>
      </c>
      <c r="E1109" t="s">
        <v>23</v>
      </c>
      <c r="F1109">
        <v>500</v>
      </c>
      <c r="G1109" t="s">
        <v>156</v>
      </c>
      <c r="H1109" t="s">
        <v>262</v>
      </c>
    </row>
    <row r="1110" spans="1:8" x14ac:dyDescent="0.3">
      <c r="A1110">
        <v>1109</v>
      </c>
      <c r="B1110" s="1">
        <v>46053</v>
      </c>
      <c r="C1110" s="2">
        <v>0.70138888888888884</v>
      </c>
      <c r="D1110" t="s">
        <v>8</v>
      </c>
      <c r="E1110" t="s">
        <v>9</v>
      </c>
      <c r="F1110">
        <v>2000</v>
      </c>
      <c r="G1110" t="s">
        <v>12</v>
      </c>
      <c r="H1110" t="s">
        <v>262</v>
      </c>
    </row>
    <row r="1111" spans="1:8" x14ac:dyDescent="0.3">
      <c r="A1111">
        <v>1110</v>
      </c>
      <c r="B1111" s="1">
        <v>46053</v>
      </c>
      <c r="C1111" s="2">
        <v>0.78680555555555554</v>
      </c>
      <c r="D1111" t="s">
        <v>22</v>
      </c>
      <c r="E1111" t="s">
        <v>23</v>
      </c>
      <c r="F1111">
        <v>200</v>
      </c>
      <c r="G1111" t="s">
        <v>12</v>
      </c>
      <c r="H1111" t="s">
        <v>262</v>
      </c>
    </row>
    <row r="1112" spans="1:8" x14ac:dyDescent="0.3">
      <c r="A1112">
        <v>1111</v>
      </c>
      <c r="B1112" s="1">
        <v>46053</v>
      </c>
      <c r="C1112" s="2">
        <v>0.79236111111111107</v>
      </c>
      <c r="D1112" t="s">
        <v>22</v>
      </c>
      <c r="E1112" t="s">
        <v>23</v>
      </c>
      <c r="F1112">
        <v>854</v>
      </c>
      <c r="G1112" t="s">
        <v>35</v>
      </c>
      <c r="H1112" t="s">
        <v>262</v>
      </c>
    </row>
    <row r="1113" spans="1:8" x14ac:dyDescent="0.3">
      <c r="A1113">
        <v>1112</v>
      </c>
      <c r="B1113" s="1">
        <v>46053</v>
      </c>
      <c r="C1113" s="2">
        <v>0.80833333333333335</v>
      </c>
      <c r="D1113" t="s">
        <v>8</v>
      </c>
      <c r="E1113" t="s">
        <v>9</v>
      </c>
      <c r="F1113">
        <v>5000</v>
      </c>
      <c r="G1113" t="s">
        <v>203</v>
      </c>
      <c r="H1113" t="s">
        <v>262</v>
      </c>
    </row>
    <row r="1114" spans="1:8" x14ac:dyDescent="0.3">
      <c r="A1114">
        <v>1113</v>
      </c>
      <c r="B1114" s="1">
        <v>46053</v>
      </c>
      <c r="C1114" s="2">
        <v>0.81041666666666667</v>
      </c>
      <c r="D1114" t="s">
        <v>8</v>
      </c>
      <c r="E1114" t="s">
        <v>9</v>
      </c>
      <c r="F1114">
        <v>578</v>
      </c>
      <c r="G1114" t="s">
        <v>283</v>
      </c>
      <c r="H1114" t="s">
        <v>262</v>
      </c>
    </row>
    <row r="1115" spans="1:8" x14ac:dyDescent="0.3">
      <c r="A1115">
        <v>1114</v>
      </c>
      <c r="B1115" s="1">
        <v>46053</v>
      </c>
      <c r="C1115" s="2">
        <v>0.81041666666666667</v>
      </c>
      <c r="D1115" t="s">
        <v>8</v>
      </c>
      <c r="E1115" t="s">
        <v>9</v>
      </c>
      <c r="F1115">
        <v>13000</v>
      </c>
      <c r="G1115" t="s">
        <v>203</v>
      </c>
      <c r="H1115" t="s">
        <v>262</v>
      </c>
    </row>
    <row r="1116" spans="1:8" x14ac:dyDescent="0.3">
      <c r="A1116">
        <v>1115</v>
      </c>
      <c r="B1116" s="1">
        <v>46053</v>
      </c>
      <c r="C1116" s="2">
        <v>0.81180555555555556</v>
      </c>
      <c r="D1116" t="s">
        <v>8</v>
      </c>
      <c r="E1116" t="s">
        <v>9</v>
      </c>
      <c r="F1116">
        <v>3500</v>
      </c>
      <c r="G1116" t="s">
        <v>203</v>
      </c>
      <c r="H1116" t="s">
        <v>262</v>
      </c>
    </row>
    <row r="1117" spans="1:8" x14ac:dyDescent="0.3">
      <c r="A1117">
        <v>1116</v>
      </c>
      <c r="B1117" s="1">
        <v>46053</v>
      </c>
      <c r="C1117" s="2">
        <v>0.83125000000000004</v>
      </c>
      <c r="D1117" t="s">
        <v>8</v>
      </c>
      <c r="E1117" t="s">
        <v>9</v>
      </c>
      <c r="F1117">
        <v>5000</v>
      </c>
      <c r="G1117" t="s">
        <v>68</v>
      </c>
      <c r="H1117" t="s">
        <v>262</v>
      </c>
    </row>
    <row r="1118" spans="1:8" x14ac:dyDescent="0.3">
      <c r="A1118">
        <v>1117</v>
      </c>
      <c r="B1118" s="1">
        <v>46053</v>
      </c>
      <c r="C1118" s="2">
        <v>0.95347222222222228</v>
      </c>
      <c r="D1118" t="s">
        <v>22</v>
      </c>
      <c r="E1118" t="s">
        <v>23</v>
      </c>
      <c r="F1118">
        <v>96.4</v>
      </c>
      <c r="G1118" t="s">
        <v>212</v>
      </c>
      <c r="H1118" t="s">
        <v>262</v>
      </c>
    </row>
    <row r="1119" spans="1:8" x14ac:dyDescent="0.3">
      <c r="A1119">
        <v>1118</v>
      </c>
      <c r="B1119" s="1">
        <v>46054</v>
      </c>
      <c r="C1119" s="2">
        <v>0.46597222222222223</v>
      </c>
      <c r="D1119" t="s">
        <v>8</v>
      </c>
      <c r="E1119" t="s">
        <v>9</v>
      </c>
      <c r="F1119">
        <v>31</v>
      </c>
      <c r="G1119" t="s">
        <v>284</v>
      </c>
      <c r="H1119" t="s">
        <v>285</v>
      </c>
    </row>
    <row r="1120" spans="1:8" x14ac:dyDescent="0.3">
      <c r="A1120">
        <v>1119</v>
      </c>
      <c r="B1120" s="1">
        <v>46054</v>
      </c>
      <c r="C1120" s="2">
        <v>0.48194444444444445</v>
      </c>
      <c r="D1120" t="s">
        <v>22</v>
      </c>
      <c r="E1120" t="s">
        <v>23</v>
      </c>
      <c r="F1120">
        <v>25</v>
      </c>
      <c r="G1120" t="s">
        <v>35</v>
      </c>
      <c r="H1120" t="s">
        <v>285</v>
      </c>
    </row>
    <row r="1121" spans="1:8" x14ac:dyDescent="0.3">
      <c r="A1121">
        <v>1120</v>
      </c>
      <c r="B1121" s="1">
        <v>46054</v>
      </c>
      <c r="C1121" s="2">
        <v>0.49444444444444446</v>
      </c>
      <c r="D1121" t="s">
        <v>8</v>
      </c>
      <c r="E1121" t="s">
        <v>9</v>
      </c>
      <c r="F1121">
        <v>13</v>
      </c>
      <c r="G1121" t="s">
        <v>35</v>
      </c>
      <c r="H1121" t="s">
        <v>285</v>
      </c>
    </row>
    <row r="1122" spans="1:8" x14ac:dyDescent="0.3">
      <c r="A1122">
        <v>1121</v>
      </c>
      <c r="B1122" s="1">
        <v>46054</v>
      </c>
      <c r="C1122" s="2">
        <v>0.58333333333333337</v>
      </c>
      <c r="D1122" t="s">
        <v>22</v>
      </c>
      <c r="E1122" t="s">
        <v>23</v>
      </c>
      <c r="F1122">
        <v>50000</v>
      </c>
      <c r="G1122" t="s">
        <v>282</v>
      </c>
      <c r="H1122" t="s">
        <v>285</v>
      </c>
    </row>
    <row r="1123" spans="1:8" x14ac:dyDescent="0.3">
      <c r="A1123">
        <v>1122</v>
      </c>
      <c r="B1123" s="1">
        <v>46054</v>
      </c>
      <c r="C1123" s="2">
        <v>0.58888888888888891</v>
      </c>
      <c r="D1123" t="s">
        <v>8</v>
      </c>
      <c r="E1123" t="s">
        <v>9</v>
      </c>
      <c r="F1123">
        <v>1000</v>
      </c>
      <c r="G1123" t="s">
        <v>203</v>
      </c>
      <c r="H1123" t="s">
        <v>285</v>
      </c>
    </row>
    <row r="1124" spans="1:8" x14ac:dyDescent="0.3">
      <c r="A1124">
        <v>1123</v>
      </c>
      <c r="B1124" s="1">
        <v>46054</v>
      </c>
      <c r="C1124" s="2">
        <v>0.73055555555555551</v>
      </c>
      <c r="D1124" t="s">
        <v>8</v>
      </c>
      <c r="E1124" t="s">
        <v>9</v>
      </c>
      <c r="F1124">
        <v>220</v>
      </c>
      <c r="G1124" t="s">
        <v>286</v>
      </c>
      <c r="H1124" t="s">
        <v>285</v>
      </c>
    </row>
    <row r="1125" spans="1:8" x14ac:dyDescent="0.3">
      <c r="A1125">
        <v>1124</v>
      </c>
      <c r="B1125" s="1">
        <v>46054</v>
      </c>
      <c r="C1125" s="2">
        <v>0.73402777777777772</v>
      </c>
      <c r="D1125" t="s">
        <v>8</v>
      </c>
      <c r="E1125" t="s">
        <v>9</v>
      </c>
      <c r="F1125">
        <v>442</v>
      </c>
      <c r="G1125" t="s">
        <v>287</v>
      </c>
      <c r="H1125" t="s">
        <v>285</v>
      </c>
    </row>
    <row r="1126" spans="1:8" x14ac:dyDescent="0.3">
      <c r="A1126">
        <v>1125</v>
      </c>
      <c r="B1126" s="1">
        <v>46054</v>
      </c>
      <c r="C1126" s="2">
        <v>0.74722222222222223</v>
      </c>
      <c r="D1126" t="s">
        <v>22</v>
      </c>
      <c r="E1126" t="s">
        <v>23</v>
      </c>
      <c r="F1126">
        <v>155</v>
      </c>
      <c r="G1126" t="s">
        <v>74</v>
      </c>
      <c r="H1126" t="s">
        <v>285</v>
      </c>
    </row>
    <row r="1127" spans="1:8" x14ac:dyDescent="0.3">
      <c r="A1127">
        <v>1126</v>
      </c>
      <c r="B1127" s="1">
        <v>46054</v>
      </c>
      <c r="C1127" s="2">
        <v>0.74930555555555556</v>
      </c>
      <c r="D1127" t="s">
        <v>8</v>
      </c>
      <c r="E1127" t="s">
        <v>9</v>
      </c>
      <c r="F1127">
        <v>155</v>
      </c>
      <c r="G1127" t="s">
        <v>199</v>
      </c>
      <c r="H1127" t="s">
        <v>285</v>
      </c>
    </row>
    <row r="1128" spans="1:8" x14ac:dyDescent="0.3">
      <c r="A1128">
        <v>1127</v>
      </c>
      <c r="B1128" s="1">
        <v>46054</v>
      </c>
      <c r="C1128" s="2">
        <v>0.75069444444444444</v>
      </c>
      <c r="D1128" t="s">
        <v>8</v>
      </c>
      <c r="E1128" t="s">
        <v>9</v>
      </c>
      <c r="F1128">
        <v>350</v>
      </c>
      <c r="G1128" t="s">
        <v>288</v>
      </c>
      <c r="H1128" t="s">
        <v>285</v>
      </c>
    </row>
    <row r="1129" spans="1:8" x14ac:dyDescent="0.3">
      <c r="A1129">
        <v>1128</v>
      </c>
      <c r="B1129" s="1">
        <v>46054</v>
      </c>
      <c r="C1129" s="2">
        <v>0.76666666666666672</v>
      </c>
      <c r="D1129" t="s">
        <v>22</v>
      </c>
      <c r="E1129" t="s">
        <v>23</v>
      </c>
      <c r="F1129">
        <v>250</v>
      </c>
      <c r="G1129" t="s">
        <v>30</v>
      </c>
      <c r="H1129" t="s">
        <v>285</v>
      </c>
    </row>
    <row r="1130" spans="1:8" x14ac:dyDescent="0.3">
      <c r="A1130">
        <v>1129</v>
      </c>
      <c r="B1130" s="1">
        <v>46054</v>
      </c>
      <c r="C1130" s="2">
        <v>0.85833333333333328</v>
      </c>
      <c r="D1130" t="s">
        <v>8</v>
      </c>
      <c r="E1130" t="s">
        <v>9</v>
      </c>
      <c r="F1130">
        <v>604</v>
      </c>
      <c r="G1130" t="s">
        <v>289</v>
      </c>
      <c r="H1130" t="s">
        <v>285</v>
      </c>
    </row>
    <row r="1131" spans="1:8" x14ac:dyDescent="0.3">
      <c r="A1131">
        <v>1130</v>
      </c>
      <c r="B1131" s="1">
        <v>46055</v>
      </c>
      <c r="C1131" s="2">
        <v>0.40833333333333333</v>
      </c>
      <c r="D1131" t="s">
        <v>8</v>
      </c>
      <c r="E1131" t="s">
        <v>9</v>
      </c>
      <c r="F1131">
        <v>150</v>
      </c>
      <c r="G1131" t="s">
        <v>74</v>
      </c>
      <c r="H1131" t="s">
        <v>285</v>
      </c>
    </row>
    <row r="1132" spans="1:8" x14ac:dyDescent="0.3">
      <c r="A1132">
        <v>1131</v>
      </c>
      <c r="B1132" s="1">
        <v>46055</v>
      </c>
      <c r="C1132" s="2">
        <v>0.60486111111111107</v>
      </c>
      <c r="D1132" t="s">
        <v>8</v>
      </c>
      <c r="E1132" t="s">
        <v>9</v>
      </c>
      <c r="F1132">
        <v>18000</v>
      </c>
      <c r="G1132" t="s">
        <v>74</v>
      </c>
      <c r="H1132" t="s">
        <v>285</v>
      </c>
    </row>
    <row r="1133" spans="1:8" x14ac:dyDescent="0.3">
      <c r="A1133">
        <v>1132</v>
      </c>
      <c r="B1133" s="1">
        <v>46055</v>
      </c>
      <c r="C1133" s="2">
        <v>0.64444444444444449</v>
      </c>
      <c r="D1133" t="s">
        <v>22</v>
      </c>
      <c r="E1133" t="s">
        <v>23</v>
      </c>
      <c r="F1133">
        <v>50000</v>
      </c>
      <c r="G1133" t="s">
        <v>282</v>
      </c>
      <c r="H1133" t="s">
        <v>285</v>
      </c>
    </row>
    <row r="1134" spans="1:8" x14ac:dyDescent="0.3">
      <c r="A1134">
        <v>1133</v>
      </c>
      <c r="B1134" s="1">
        <v>46055</v>
      </c>
      <c r="C1134" s="2">
        <v>0.72847222222222219</v>
      </c>
      <c r="D1134" t="s">
        <v>14</v>
      </c>
      <c r="E1134" t="s">
        <v>9</v>
      </c>
      <c r="F1134">
        <v>899</v>
      </c>
      <c r="G1134" t="s">
        <v>15</v>
      </c>
      <c r="H1134" t="s">
        <v>285</v>
      </c>
    </row>
    <row r="1135" spans="1:8" x14ac:dyDescent="0.3">
      <c r="A1135">
        <v>1134</v>
      </c>
      <c r="B1135" s="1">
        <v>46055</v>
      </c>
      <c r="C1135" s="2">
        <v>0.76458333333333328</v>
      </c>
      <c r="D1135" t="s">
        <v>8</v>
      </c>
      <c r="E1135" t="s">
        <v>9</v>
      </c>
      <c r="F1135">
        <v>31</v>
      </c>
      <c r="G1135" t="s">
        <v>290</v>
      </c>
      <c r="H1135" t="s">
        <v>285</v>
      </c>
    </row>
    <row r="1136" spans="1:8" x14ac:dyDescent="0.3">
      <c r="A1136">
        <v>1135</v>
      </c>
      <c r="B1136" s="1">
        <v>46056</v>
      </c>
      <c r="C1136" s="2">
        <v>0.70138888888888884</v>
      </c>
      <c r="D1136" t="s">
        <v>22</v>
      </c>
      <c r="E1136" t="s">
        <v>23</v>
      </c>
      <c r="F1136">
        <v>41</v>
      </c>
      <c r="G1136" t="s">
        <v>35</v>
      </c>
      <c r="H1136" t="s">
        <v>285</v>
      </c>
    </row>
    <row r="1137" spans="1:8" x14ac:dyDescent="0.3">
      <c r="A1137">
        <v>1136</v>
      </c>
      <c r="B1137" s="1">
        <v>46056</v>
      </c>
      <c r="C1137" s="2">
        <v>0.7055555555555556</v>
      </c>
      <c r="D1137" t="s">
        <v>8</v>
      </c>
      <c r="E1137" t="s">
        <v>9</v>
      </c>
      <c r="F1137">
        <v>31</v>
      </c>
      <c r="G1137" t="s">
        <v>284</v>
      </c>
      <c r="H1137" t="s">
        <v>285</v>
      </c>
    </row>
    <row r="1138" spans="1:8" x14ac:dyDescent="0.3">
      <c r="A1138">
        <v>1137</v>
      </c>
      <c r="B1138" s="1">
        <v>46056</v>
      </c>
      <c r="C1138" s="2">
        <v>0.70763888888888893</v>
      </c>
      <c r="D1138" t="s">
        <v>8</v>
      </c>
      <c r="E1138" t="s">
        <v>9</v>
      </c>
      <c r="F1138">
        <v>10</v>
      </c>
      <c r="G1138" t="s">
        <v>166</v>
      </c>
      <c r="H1138" t="s">
        <v>285</v>
      </c>
    </row>
    <row r="1139" spans="1:8" x14ac:dyDescent="0.3">
      <c r="A1139">
        <v>1138</v>
      </c>
      <c r="B1139" s="1">
        <v>46056</v>
      </c>
      <c r="C1139" s="2">
        <v>0.90069444444444446</v>
      </c>
      <c r="D1139" t="s">
        <v>8</v>
      </c>
      <c r="E1139" t="s">
        <v>9</v>
      </c>
      <c r="F1139">
        <v>500</v>
      </c>
      <c r="G1139" t="s">
        <v>291</v>
      </c>
      <c r="H1139" t="s">
        <v>285</v>
      </c>
    </row>
    <row r="1140" spans="1:8" x14ac:dyDescent="0.3">
      <c r="A1140">
        <v>1139</v>
      </c>
      <c r="B1140" s="1">
        <v>46056</v>
      </c>
      <c r="C1140" s="2">
        <v>0.91597222222222219</v>
      </c>
      <c r="D1140" t="s">
        <v>8</v>
      </c>
      <c r="E1140" t="s">
        <v>9</v>
      </c>
      <c r="F1140">
        <v>2400</v>
      </c>
      <c r="G1140" t="s">
        <v>20</v>
      </c>
      <c r="H1140" t="s">
        <v>285</v>
      </c>
    </row>
    <row r="1141" spans="1:8" x14ac:dyDescent="0.3">
      <c r="A1141">
        <v>1140</v>
      </c>
      <c r="B1141" s="1">
        <v>46056</v>
      </c>
      <c r="C1141" s="2">
        <v>0.91666666666666663</v>
      </c>
      <c r="D1141" t="s">
        <v>8</v>
      </c>
      <c r="E1141" t="s">
        <v>9</v>
      </c>
      <c r="F1141">
        <v>50000</v>
      </c>
      <c r="G1141" t="s">
        <v>292</v>
      </c>
      <c r="H1141" t="s">
        <v>285</v>
      </c>
    </row>
    <row r="1142" spans="1:8" x14ac:dyDescent="0.3">
      <c r="A1142">
        <v>1141</v>
      </c>
      <c r="B1142" s="1">
        <v>46057</v>
      </c>
      <c r="C1142" s="2">
        <v>0.62430555555555556</v>
      </c>
      <c r="D1142" t="s">
        <v>8</v>
      </c>
      <c r="E1142" t="s">
        <v>9</v>
      </c>
      <c r="F1142">
        <v>13000</v>
      </c>
      <c r="G1142" t="s">
        <v>35</v>
      </c>
      <c r="H1142" t="s">
        <v>285</v>
      </c>
    </row>
    <row r="1143" spans="1:8" x14ac:dyDescent="0.3">
      <c r="A1143">
        <v>1142</v>
      </c>
      <c r="B1143" s="1">
        <v>46057</v>
      </c>
      <c r="C1143" s="2">
        <v>0.62569444444444444</v>
      </c>
      <c r="D1143" t="s">
        <v>22</v>
      </c>
      <c r="E1143" t="s">
        <v>23</v>
      </c>
      <c r="F1143">
        <v>7000</v>
      </c>
      <c r="G1143" t="s">
        <v>274</v>
      </c>
      <c r="H1143" t="s">
        <v>285</v>
      </c>
    </row>
    <row r="1144" spans="1:8" x14ac:dyDescent="0.3">
      <c r="A1144">
        <v>1143</v>
      </c>
      <c r="B1144" s="1">
        <v>46057</v>
      </c>
      <c r="C1144" s="2">
        <v>0.62569444444444444</v>
      </c>
      <c r="D1144" t="s">
        <v>8</v>
      </c>
      <c r="E1144" t="s">
        <v>9</v>
      </c>
      <c r="F1144">
        <v>7000</v>
      </c>
      <c r="G1144" t="s">
        <v>35</v>
      </c>
      <c r="H1144" t="s">
        <v>285</v>
      </c>
    </row>
    <row r="1145" spans="1:8" x14ac:dyDescent="0.3">
      <c r="A1145">
        <v>1144</v>
      </c>
      <c r="B1145" s="1">
        <v>46057</v>
      </c>
      <c r="C1145" s="2">
        <v>0.64930555555555558</v>
      </c>
      <c r="D1145" t="s">
        <v>22</v>
      </c>
      <c r="E1145" t="s">
        <v>23</v>
      </c>
      <c r="F1145">
        <v>1000</v>
      </c>
      <c r="G1145" t="s">
        <v>59</v>
      </c>
      <c r="H1145" t="s">
        <v>285</v>
      </c>
    </row>
    <row r="1146" spans="1:8" x14ac:dyDescent="0.3">
      <c r="A1146">
        <v>1145</v>
      </c>
      <c r="B1146" s="1">
        <v>46057</v>
      </c>
      <c r="C1146" s="2">
        <v>0.65069444444444446</v>
      </c>
      <c r="D1146" t="s">
        <v>8</v>
      </c>
      <c r="E1146" t="s">
        <v>9</v>
      </c>
      <c r="F1146">
        <v>1000</v>
      </c>
      <c r="G1146" t="s">
        <v>293</v>
      </c>
      <c r="H1146" t="s">
        <v>285</v>
      </c>
    </row>
    <row r="1147" spans="1:8" x14ac:dyDescent="0.3">
      <c r="A1147">
        <v>1146</v>
      </c>
      <c r="B1147" s="1">
        <v>46057</v>
      </c>
      <c r="C1147" s="2">
        <v>0.71527777777777779</v>
      </c>
      <c r="D1147" t="s">
        <v>8</v>
      </c>
      <c r="E1147" t="s">
        <v>9</v>
      </c>
      <c r="F1147">
        <v>2000</v>
      </c>
      <c r="G1147" t="s">
        <v>35</v>
      </c>
      <c r="H1147" t="s">
        <v>285</v>
      </c>
    </row>
    <row r="1148" spans="1:8" x14ac:dyDescent="0.3">
      <c r="A1148">
        <v>1147</v>
      </c>
      <c r="B1148" s="1">
        <v>46057</v>
      </c>
      <c r="C1148" s="2">
        <v>0.8305555555555556</v>
      </c>
      <c r="D1148" t="s">
        <v>8</v>
      </c>
      <c r="E1148" t="s">
        <v>9</v>
      </c>
      <c r="F1148">
        <v>100</v>
      </c>
      <c r="G1148" t="s">
        <v>74</v>
      </c>
      <c r="H1148" t="s">
        <v>285</v>
      </c>
    </row>
    <row r="1149" spans="1:8" x14ac:dyDescent="0.3">
      <c r="A1149">
        <v>1148</v>
      </c>
      <c r="B1149" s="1">
        <v>46058</v>
      </c>
      <c r="C1149" s="2">
        <v>0.45833333333333331</v>
      </c>
      <c r="D1149" t="s">
        <v>8</v>
      </c>
      <c r="E1149" t="s">
        <v>9</v>
      </c>
      <c r="F1149">
        <v>500</v>
      </c>
      <c r="G1149" t="s">
        <v>185</v>
      </c>
      <c r="H1149" t="s">
        <v>285</v>
      </c>
    </row>
    <row r="1150" spans="1:8" x14ac:dyDescent="0.3">
      <c r="A1150">
        <v>1149</v>
      </c>
      <c r="B1150" s="1">
        <v>46058</v>
      </c>
      <c r="C1150" s="2">
        <v>0.66249999999999998</v>
      </c>
      <c r="D1150" t="s">
        <v>8</v>
      </c>
      <c r="E1150" t="s">
        <v>9</v>
      </c>
      <c r="F1150">
        <v>500</v>
      </c>
      <c r="G1150" t="s">
        <v>12</v>
      </c>
      <c r="H1150" t="s">
        <v>285</v>
      </c>
    </row>
    <row r="1151" spans="1:8" x14ac:dyDescent="0.3">
      <c r="A1151">
        <v>1150</v>
      </c>
      <c r="B1151" s="1">
        <v>46058</v>
      </c>
      <c r="C1151" s="2">
        <v>0.68680555555555556</v>
      </c>
      <c r="D1151" t="s">
        <v>22</v>
      </c>
      <c r="E1151" t="s">
        <v>23</v>
      </c>
      <c r="F1151">
        <v>31</v>
      </c>
      <c r="G1151" t="s">
        <v>35</v>
      </c>
      <c r="H1151" t="s">
        <v>285</v>
      </c>
    </row>
    <row r="1152" spans="1:8" x14ac:dyDescent="0.3">
      <c r="A1152">
        <v>1151</v>
      </c>
      <c r="B1152" s="1">
        <v>46058</v>
      </c>
      <c r="C1152" s="2">
        <v>0.68888888888888888</v>
      </c>
      <c r="D1152" t="s">
        <v>8</v>
      </c>
      <c r="E1152" t="s">
        <v>9</v>
      </c>
      <c r="F1152">
        <v>31</v>
      </c>
      <c r="G1152" t="s">
        <v>284</v>
      </c>
      <c r="H1152" t="s">
        <v>285</v>
      </c>
    </row>
    <row r="1153" spans="1:8" x14ac:dyDescent="0.3">
      <c r="A1153">
        <v>1152</v>
      </c>
      <c r="B1153" s="1">
        <v>46058</v>
      </c>
      <c r="C1153" s="2">
        <v>0.69166666666666665</v>
      </c>
      <c r="D1153" t="s">
        <v>8</v>
      </c>
      <c r="E1153" t="s">
        <v>9</v>
      </c>
      <c r="F1153">
        <v>40</v>
      </c>
      <c r="G1153" t="s">
        <v>294</v>
      </c>
      <c r="H1153" t="s">
        <v>285</v>
      </c>
    </row>
    <row r="1154" spans="1:8" x14ac:dyDescent="0.3">
      <c r="A1154">
        <v>1153</v>
      </c>
      <c r="B1154" s="1">
        <v>46059</v>
      </c>
      <c r="C1154" s="2">
        <v>0.84444444444444444</v>
      </c>
      <c r="D1154" t="s">
        <v>22</v>
      </c>
      <c r="E1154" t="s">
        <v>23</v>
      </c>
      <c r="F1154">
        <v>3000</v>
      </c>
      <c r="G1154" t="s">
        <v>59</v>
      </c>
      <c r="H1154" t="s">
        <v>285</v>
      </c>
    </row>
    <row r="1155" spans="1:8" x14ac:dyDescent="0.3">
      <c r="A1155">
        <v>1154</v>
      </c>
      <c r="B1155" s="1">
        <v>46059</v>
      </c>
      <c r="C1155" s="2">
        <v>0.88749999999999996</v>
      </c>
      <c r="D1155" t="s">
        <v>22</v>
      </c>
      <c r="E1155" t="s">
        <v>23</v>
      </c>
      <c r="F1155">
        <v>150</v>
      </c>
      <c r="G1155" t="s">
        <v>184</v>
      </c>
      <c r="H1155" t="s">
        <v>285</v>
      </c>
    </row>
    <row r="1156" spans="1:8" x14ac:dyDescent="0.3">
      <c r="A1156">
        <v>1155</v>
      </c>
      <c r="B1156" s="1">
        <v>46060</v>
      </c>
      <c r="C1156" s="2">
        <v>0.6479166666666667</v>
      </c>
      <c r="D1156" t="s">
        <v>8</v>
      </c>
      <c r="E1156" t="s">
        <v>9</v>
      </c>
      <c r="F1156">
        <v>118</v>
      </c>
      <c r="G1156" t="s">
        <v>295</v>
      </c>
      <c r="H1156" t="s">
        <v>285</v>
      </c>
    </row>
    <row r="1157" spans="1:8" x14ac:dyDescent="0.3">
      <c r="A1157">
        <v>1156</v>
      </c>
      <c r="B1157" s="1">
        <v>46060</v>
      </c>
      <c r="C1157" s="2">
        <v>0.90347222222222223</v>
      </c>
      <c r="D1157" t="s">
        <v>22</v>
      </c>
      <c r="E1157" t="s">
        <v>23</v>
      </c>
      <c r="F1157">
        <v>5000</v>
      </c>
      <c r="G1157" t="s">
        <v>35</v>
      </c>
      <c r="H1157" t="s">
        <v>285</v>
      </c>
    </row>
    <row r="1158" spans="1:8" x14ac:dyDescent="0.3">
      <c r="A1158">
        <v>1157</v>
      </c>
      <c r="B1158" s="1">
        <v>46061</v>
      </c>
      <c r="C1158" s="2">
        <v>0.41180555555555554</v>
      </c>
      <c r="D1158" t="s">
        <v>8</v>
      </c>
      <c r="E1158" t="s">
        <v>9</v>
      </c>
      <c r="F1158">
        <v>1000</v>
      </c>
      <c r="G1158" t="s">
        <v>185</v>
      </c>
      <c r="H1158" t="s">
        <v>285</v>
      </c>
    </row>
    <row r="1159" spans="1:8" x14ac:dyDescent="0.3">
      <c r="A1159">
        <v>1158</v>
      </c>
      <c r="B1159" s="1">
        <v>46061</v>
      </c>
      <c r="C1159" s="2">
        <v>0.64861111111111114</v>
      </c>
      <c r="D1159" t="s">
        <v>8</v>
      </c>
      <c r="E1159" t="s">
        <v>9</v>
      </c>
      <c r="F1159">
        <v>5000</v>
      </c>
      <c r="G1159" t="s">
        <v>203</v>
      </c>
      <c r="H1159" t="s">
        <v>285</v>
      </c>
    </row>
    <row r="1160" spans="1:8" x14ac:dyDescent="0.3">
      <c r="A1160">
        <v>1159</v>
      </c>
      <c r="B1160" s="1">
        <v>46061</v>
      </c>
      <c r="C1160" s="2">
        <v>0.64861111111111114</v>
      </c>
      <c r="D1160" t="s">
        <v>22</v>
      </c>
      <c r="E1160" t="s">
        <v>23</v>
      </c>
      <c r="F1160">
        <v>150</v>
      </c>
      <c r="G1160" t="s">
        <v>12</v>
      </c>
      <c r="H1160" t="s">
        <v>285</v>
      </c>
    </row>
    <row r="1161" spans="1:8" x14ac:dyDescent="0.3">
      <c r="A1161">
        <v>1160</v>
      </c>
      <c r="B1161" s="1">
        <v>46061</v>
      </c>
      <c r="C1161" s="2">
        <v>0.64930555555555558</v>
      </c>
      <c r="D1161" t="s">
        <v>8</v>
      </c>
      <c r="E1161" t="s">
        <v>9</v>
      </c>
      <c r="F1161">
        <v>1182</v>
      </c>
      <c r="G1161" t="s">
        <v>203</v>
      </c>
      <c r="H1161" t="s">
        <v>285</v>
      </c>
    </row>
    <row r="1162" spans="1:8" x14ac:dyDescent="0.3">
      <c r="A1162">
        <v>1161</v>
      </c>
      <c r="B1162" s="1">
        <v>46061</v>
      </c>
      <c r="C1162" s="2">
        <v>0.67777777777777781</v>
      </c>
      <c r="D1162" t="s">
        <v>22</v>
      </c>
      <c r="E1162" t="s">
        <v>23</v>
      </c>
      <c r="F1162">
        <v>350</v>
      </c>
      <c r="G1162" t="s">
        <v>35</v>
      </c>
      <c r="H1162" t="s">
        <v>285</v>
      </c>
    </row>
    <row r="1163" spans="1:8" x14ac:dyDescent="0.3">
      <c r="A1163">
        <v>1162</v>
      </c>
      <c r="B1163" s="1">
        <v>46061</v>
      </c>
      <c r="C1163" s="2">
        <v>0.67847222222222225</v>
      </c>
      <c r="D1163" t="s">
        <v>8</v>
      </c>
      <c r="E1163" t="s">
        <v>9</v>
      </c>
      <c r="F1163">
        <v>350</v>
      </c>
      <c r="G1163" t="s">
        <v>203</v>
      </c>
      <c r="H1163" t="s">
        <v>285</v>
      </c>
    </row>
    <row r="1164" spans="1:8" x14ac:dyDescent="0.3">
      <c r="A1164">
        <v>1163</v>
      </c>
      <c r="B1164" s="1">
        <v>46061</v>
      </c>
      <c r="C1164" s="2">
        <v>0.72291666666666665</v>
      </c>
      <c r="D1164" t="s">
        <v>22</v>
      </c>
      <c r="E1164" t="s">
        <v>23</v>
      </c>
      <c r="F1164">
        <v>5000</v>
      </c>
      <c r="G1164" t="s">
        <v>52</v>
      </c>
      <c r="H1164" t="s">
        <v>285</v>
      </c>
    </row>
    <row r="1165" spans="1:8" x14ac:dyDescent="0.3">
      <c r="A1165">
        <v>1164</v>
      </c>
      <c r="B1165" s="1">
        <v>46061</v>
      </c>
      <c r="C1165" s="2">
        <v>0.76736111111111116</v>
      </c>
      <c r="D1165" t="s">
        <v>8</v>
      </c>
      <c r="E1165" t="s">
        <v>9</v>
      </c>
      <c r="F1165">
        <v>5000</v>
      </c>
      <c r="G1165" t="s">
        <v>156</v>
      </c>
      <c r="H1165" t="s">
        <v>285</v>
      </c>
    </row>
    <row r="1166" spans="1:8" x14ac:dyDescent="0.3">
      <c r="A1166">
        <v>1165</v>
      </c>
      <c r="B1166" s="1">
        <v>46062</v>
      </c>
      <c r="C1166" s="2">
        <v>0.46875</v>
      </c>
      <c r="D1166" t="s">
        <v>8</v>
      </c>
      <c r="E1166" t="s">
        <v>9</v>
      </c>
      <c r="F1166">
        <v>1500</v>
      </c>
      <c r="G1166" t="s">
        <v>68</v>
      </c>
      <c r="H1166" t="s">
        <v>285</v>
      </c>
    </row>
    <row r="1167" spans="1:8" x14ac:dyDescent="0.3">
      <c r="A1167">
        <v>1166</v>
      </c>
      <c r="B1167" s="1">
        <v>46062</v>
      </c>
      <c r="C1167" s="2">
        <v>0.63611111111111107</v>
      </c>
      <c r="D1167" t="s">
        <v>8</v>
      </c>
      <c r="E1167" t="s">
        <v>9</v>
      </c>
      <c r="F1167">
        <v>50000</v>
      </c>
      <c r="G1167" t="s">
        <v>282</v>
      </c>
      <c r="H1167" t="s">
        <v>285</v>
      </c>
    </row>
    <row r="1168" spans="1:8" x14ac:dyDescent="0.3">
      <c r="A1168">
        <v>1167</v>
      </c>
      <c r="B1168" s="1">
        <v>46062</v>
      </c>
      <c r="C1168" s="2">
        <v>0.96319444444444446</v>
      </c>
      <c r="D1168" t="s">
        <v>22</v>
      </c>
      <c r="E1168" t="s">
        <v>23</v>
      </c>
      <c r="F1168">
        <v>1000</v>
      </c>
      <c r="G1168" t="s">
        <v>296</v>
      </c>
      <c r="H1168" t="s">
        <v>285</v>
      </c>
    </row>
    <row r="1169" spans="1:8" x14ac:dyDescent="0.3">
      <c r="A1169">
        <v>1168</v>
      </c>
      <c r="B1169" s="1">
        <v>46062</v>
      </c>
      <c r="C1169" s="2">
        <v>0.96666666666666667</v>
      </c>
      <c r="D1169" t="s">
        <v>8</v>
      </c>
      <c r="E1169" t="s">
        <v>9</v>
      </c>
      <c r="F1169">
        <v>1000</v>
      </c>
      <c r="G1169" t="s">
        <v>203</v>
      </c>
      <c r="H1169" t="s">
        <v>285</v>
      </c>
    </row>
    <row r="1170" spans="1:8" x14ac:dyDescent="0.3">
      <c r="A1170">
        <v>1169</v>
      </c>
      <c r="B1170" s="1">
        <v>46063</v>
      </c>
      <c r="C1170" s="2">
        <v>0.42986111111111114</v>
      </c>
      <c r="D1170" t="s">
        <v>14</v>
      </c>
      <c r="E1170" t="s">
        <v>9</v>
      </c>
      <c r="F1170">
        <v>899</v>
      </c>
      <c r="G1170" t="s">
        <v>15</v>
      </c>
      <c r="H1170" t="s">
        <v>285</v>
      </c>
    </row>
    <row r="1171" spans="1:8" x14ac:dyDescent="0.3">
      <c r="A1171">
        <v>1170</v>
      </c>
      <c r="B1171" s="1">
        <v>46063</v>
      </c>
      <c r="C1171" s="2">
        <v>0.66527777777777775</v>
      </c>
      <c r="D1171" t="s">
        <v>22</v>
      </c>
      <c r="E1171" t="s">
        <v>23</v>
      </c>
      <c r="F1171">
        <v>3000</v>
      </c>
      <c r="G1171" t="s">
        <v>282</v>
      </c>
      <c r="H1171" t="s">
        <v>285</v>
      </c>
    </row>
    <row r="1172" spans="1:8" x14ac:dyDescent="0.3">
      <c r="A1172">
        <v>1171</v>
      </c>
      <c r="B1172" s="1">
        <v>46063</v>
      </c>
      <c r="C1172" s="2">
        <v>0.66805555555555551</v>
      </c>
      <c r="D1172" t="s">
        <v>8</v>
      </c>
      <c r="E1172" t="s">
        <v>9</v>
      </c>
      <c r="F1172">
        <v>5000</v>
      </c>
      <c r="G1172" t="s">
        <v>282</v>
      </c>
      <c r="H1172" t="s">
        <v>285</v>
      </c>
    </row>
    <row r="1173" spans="1:8" x14ac:dyDescent="0.3">
      <c r="A1173">
        <v>1172</v>
      </c>
      <c r="B1173" s="1">
        <v>46063</v>
      </c>
      <c r="C1173" s="2">
        <v>0.66805555555555551</v>
      </c>
      <c r="D1173" t="s">
        <v>8</v>
      </c>
      <c r="E1173" t="s">
        <v>9</v>
      </c>
      <c r="F1173">
        <v>3000</v>
      </c>
      <c r="G1173" t="s">
        <v>282</v>
      </c>
      <c r="H1173" t="s">
        <v>285</v>
      </c>
    </row>
    <row r="1174" spans="1:8" x14ac:dyDescent="0.3">
      <c r="A1174">
        <v>1173</v>
      </c>
      <c r="B1174" s="1">
        <v>46064</v>
      </c>
      <c r="C1174" s="2">
        <v>0.31805555555555554</v>
      </c>
      <c r="D1174" t="s">
        <v>8</v>
      </c>
      <c r="E1174" t="s">
        <v>9</v>
      </c>
      <c r="F1174">
        <v>1000</v>
      </c>
      <c r="G1174" t="s">
        <v>35</v>
      </c>
      <c r="H1174" t="s">
        <v>285</v>
      </c>
    </row>
    <row r="1175" spans="1:8" x14ac:dyDescent="0.3">
      <c r="A1175">
        <v>1174</v>
      </c>
      <c r="B1175" s="1">
        <v>46064</v>
      </c>
      <c r="C1175" s="2">
        <v>0.44791666666666669</v>
      </c>
      <c r="D1175" t="s">
        <v>8</v>
      </c>
      <c r="E1175" t="s">
        <v>9</v>
      </c>
      <c r="F1175">
        <v>130</v>
      </c>
      <c r="G1175" t="s">
        <v>297</v>
      </c>
      <c r="H1175" t="s">
        <v>285</v>
      </c>
    </row>
    <row r="1176" spans="1:8" x14ac:dyDescent="0.3">
      <c r="A1176">
        <v>1175</v>
      </c>
      <c r="B1176" s="1">
        <v>46064</v>
      </c>
      <c r="C1176" s="2">
        <v>0.54513888888888884</v>
      </c>
      <c r="D1176" t="s">
        <v>8</v>
      </c>
      <c r="E1176" t="s">
        <v>9</v>
      </c>
      <c r="F1176">
        <v>1000</v>
      </c>
      <c r="G1176" t="s">
        <v>68</v>
      </c>
      <c r="H1176" t="s">
        <v>285</v>
      </c>
    </row>
    <row r="1177" spans="1:8" x14ac:dyDescent="0.3">
      <c r="A1177">
        <v>1176</v>
      </c>
      <c r="B1177" s="1">
        <v>46064</v>
      </c>
      <c r="C1177" s="2">
        <v>0.73402777777777772</v>
      </c>
      <c r="D1177" t="s">
        <v>8</v>
      </c>
      <c r="E1177" t="s">
        <v>9</v>
      </c>
      <c r="F1177">
        <v>10</v>
      </c>
      <c r="G1177" t="s">
        <v>166</v>
      </c>
      <c r="H1177" t="s">
        <v>285</v>
      </c>
    </row>
    <row r="1178" spans="1:8" x14ac:dyDescent="0.3">
      <c r="A1178">
        <v>1177</v>
      </c>
      <c r="B1178" s="1">
        <v>46064</v>
      </c>
      <c r="C1178" s="2">
        <v>0.81111111111111112</v>
      </c>
      <c r="D1178" t="s">
        <v>22</v>
      </c>
      <c r="E1178" t="s">
        <v>23</v>
      </c>
      <c r="F1178">
        <v>6900</v>
      </c>
      <c r="G1178" t="s">
        <v>74</v>
      </c>
      <c r="H1178" t="s">
        <v>285</v>
      </c>
    </row>
    <row r="1179" spans="1:8" x14ac:dyDescent="0.3">
      <c r="A1179">
        <v>1178</v>
      </c>
      <c r="B1179" s="1">
        <v>46064</v>
      </c>
      <c r="C1179" s="2">
        <v>0.91597222222222219</v>
      </c>
      <c r="D1179" t="s">
        <v>22</v>
      </c>
      <c r="E1179" t="s">
        <v>23</v>
      </c>
      <c r="F1179">
        <v>1000</v>
      </c>
      <c r="G1179" t="s">
        <v>35</v>
      </c>
      <c r="H1179" t="s">
        <v>285</v>
      </c>
    </row>
    <row r="1180" spans="1:8" x14ac:dyDescent="0.3">
      <c r="A1180">
        <v>1179</v>
      </c>
      <c r="B1180" s="1">
        <v>46064</v>
      </c>
      <c r="C1180" s="2">
        <v>0.93333333333333335</v>
      </c>
      <c r="D1180" t="s">
        <v>8</v>
      </c>
      <c r="E1180" t="s">
        <v>9</v>
      </c>
      <c r="F1180">
        <v>1000</v>
      </c>
      <c r="G1180" t="s">
        <v>203</v>
      </c>
      <c r="H1180" t="s">
        <v>285</v>
      </c>
    </row>
    <row r="1181" spans="1:8" x14ac:dyDescent="0.3">
      <c r="A1181">
        <v>1180</v>
      </c>
      <c r="B1181" s="1">
        <v>46065</v>
      </c>
      <c r="C1181" s="2">
        <v>0.46111111111111114</v>
      </c>
      <c r="D1181" t="s">
        <v>8</v>
      </c>
      <c r="E1181" t="s">
        <v>9</v>
      </c>
      <c r="F1181">
        <v>60</v>
      </c>
      <c r="G1181" t="s">
        <v>228</v>
      </c>
      <c r="H1181" t="s">
        <v>285</v>
      </c>
    </row>
    <row r="1182" spans="1:8" x14ac:dyDescent="0.3">
      <c r="A1182">
        <v>1181</v>
      </c>
      <c r="B1182" s="1">
        <v>46065</v>
      </c>
      <c r="C1182" s="2">
        <v>0.51388888888888884</v>
      </c>
      <c r="D1182" t="s">
        <v>8</v>
      </c>
      <c r="E1182" t="s">
        <v>9</v>
      </c>
      <c r="F1182">
        <v>48</v>
      </c>
      <c r="G1182" t="s">
        <v>298</v>
      </c>
      <c r="H1182" t="s">
        <v>285</v>
      </c>
    </row>
    <row r="1183" spans="1:8" x14ac:dyDescent="0.3">
      <c r="A1183">
        <v>1182</v>
      </c>
      <c r="B1183" s="1">
        <v>46065</v>
      </c>
      <c r="C1183" s="2">
        <v>0.56319444444444444</v>
      </c>
      <c r="D1183" t="s">
        <v>8</v>
      </c>
      <c r="E1183" t="s">
        <v>9</v>
      </c>
      <c r="F1183">
        <v>40</v>
      </c>
      <c r="G1183" t="s">
        <v>299</v>
      </c>
      <c r="H1183" t="s">
        <v>285</v>
      </c>
    </row>
    <row r="1184" spans="1:8" x14ac:dyDescent="0.3">
      <c r="A1184">
        <v>1183</v>
      </c>
      <c r="B1184" s="1">
        <v>46065</v>
      </c>
      <c r="C1184" s="2">
        <v>0.56388888888888888</v>
      </c>
      <c r="D1184" t="s">
        <v>8</v>
      </c>
      <c r="E1184" t="s">
        <v>9</v>
      </c>
      <c r="F1184">
        <v>60</v>
      </c>
      <c r="G1184" t="s">
        <v>228</v>
      </c>
      <c r="H1184" t="s">
        <v>285</v>
      </c>
    </row>
    <row r="1185" spans="1:8" x14ac:dyDescent="0.3">
      <c r="A1185">
        <v>1184</v>
      </c>
      <c r="B1185" s="1">
        <v>46065</v>
      </c>
      <c r="C1185" s="2">
        <v>0.72430555555555554</v>
      </c>
      <c r="D1185" t="s">
        <v>22</v>
      </c>
      <c r="E1185" t="s">
        <v>23</v>
      </c>
      <c r="F1185">
        <v>3000</v>
      </c>
      <c r="G1185" t="s">
        <v>30</v>
      </c>
      <c r="H1185" t="s">
        <v>285</v>
      </c>
    </row>
    <row r="1186" spans="1:8" x14ac:dyDescent="0.3">
      <c r="A1186">
        <v>1185</v>
      </c>
      <c r="B1186" s="1">
        <v>46065</v>
      </c>
      <c r="C1186" s="2">
        <v>0.77361111111111114</v>
      </c>
      <c r="D1186" t="s">
        <v>8</v>
      </c>
      <c r="E1186" t="s">
        <v>9</v>
      </c>
      <c r="F1186">
        <v>980</v>
      </c>
      <c r="G1186" t="s">
        <v>203</v>
      </c>
      <c r="H1186" t="s">
        <v>285</v>
      </c>
    </row>
    <row r="1187" spans="1:8" x14ac:dyDescent="0.3">
      <c r="A1187">
        <v>1186</v>
      </c>
      <c r="B1187" s="1">
        <v>46065</v>
      </c>
      <c r="C1187" s="2">
        <v>0.77361111111111114</v>
      </c>
      <c r="D1187" t="s">
        <v>8</v>
      </c>
      <c r="E1187" t="s">
        <v>9</v>
      </c>
      <c r="F1187">
        <v>2500</v>
      </c>
      <c r="G1187" t="s">
        <v>74</v>
      </c>
      <c r="H1187" t="s">
        <v>285</v>
      </c>
    </row>
    <row r="1188" spans="1:8" x14ac:dyDescent="0.3">
      <c r="A1188">
        <v>1187</v>
      </c>
      <c r="B1188" s="1">
        <v>46065</v>
      </c>
      <c r="C1188" s="2">
        <v>0.96944444444444444</v>
      </c>
      <c r="D1188" t="s">
        <v>22</v>
      </c>
      <c r="E1188" t="s">
        <v>23</v>
      </c>
      <c r="F1188">
        <v>60</v>
      </c>
      <c r="G1188" t="s">
        <v>10</v>
      </c>
      <c r="H1188" t="s">
        <v>285</v>
      </c>
    </row>
    <row r="1189" spans="1:8" x14ac:dyDescent="0.3">
      <c r="A1189">
        <v>1188</v>
      </c>
      <c r="B1189" s="1">
        <v>46066</v>
      </c>
      <c r="C1189" s="2">
        <v>0.34444444444444444</v>
      </c>
      <c r="D1189" t="s">
        <v>8</v>
      </c>
      <c r="E1189" t="s">
        <v>9</v>
      </c>
      <c r="F1189">
        <v>20</v>
      </c>
      <c r="G1189" t="s">
        <v>203</v>
      </c>
      <c r="H1189" t="s">
        <v>285</v>
      </c>
    </row>
    <row r="1190" spans="1:8" x14ac:dyDescent="0.3">
      <c r="A1190">
        <v>1189</v>
      </c>
      <c r="B1190" s="1">
        <v>46066</v>
      </c>
      <c r="C1190" s="2">
        <v>0.88680555555555551</v>
      </c>
      <c r="D1190" t="s">
        <v>8</v>
      </c>
      <c r="E1190" t="s">
        <v>9</v>
      </c>
      <c r="F1190">
        <v>1000</v>
      </c>
      <c r="G1190" t="s">
        <v>185</v>
      </c>
      <c r="H1190" t="s">
        <v>285</v>
      </c>
    </row>
    <row r="1191" spans="1:8" x14ac:dyDescent="0.3">
      <c r="A1191">
        <v>1190</v>
      </c>
      <c r="B1191" s="1">
        <v>46067</v>
      </c>
      <c r="C1191" s="2">
        <v>0.76458333333333328</v>
      </c>
      <c r="D1191" t="s">
        <v>22</v>
      </c>
      <c r="E1191" t="s">
        <v>23</v>
      </c>
      <c r="F1191">
        <v>2000</v>
      </c>
      <c r="G1191" t="s">
        <v>282</v>
      </c>
      <c r="H1191" t="s">
        <v>285</v>
      </c>
    </row>
    <row r="1192" spans="1:8" x14ac:dyDescent="0.3">
      <c r="A1192">
        <v>1191</v>
      </c>
      <c r="B1192" s="1">
        <v>46068</v>
      </c>
      <c r="C1192" s="2">
        <v>0.7416666666666667</v>
      </c>
      <c r="D1192" t="s">
        <v>8</v>
      </c>
      <c r="E1192" t="s">
        <v>9</v>
      </c>
      <c r="F1192">
        <v>31</v>
      </c>
      <c r="G1192" t="s">
        <v>284</v>
      </c>
      <c r="H1192" t="s">
        <v>285</v>
      </c>
    </row>
    <row r="1193" spans="1:8" x14ac:dyDescent="0.3">
      <c r="A1193">
        <v>1192</v>
      </c>
      <c r="B1193" s="1">
        <v>46068</v>
      </c>
      <c r="C1193" s="2">
        <v>0.81944444444444442</v>
      </c>
      <c r="D1193" t="s">
        <v>22</v>
      </c>
      <c r="E1193" t="s">
        <v>23</v>
      </c>
      <c r="F1193">
        <v>15000</v>
      </c>
      <c r="G1193" t="s">
        <v>35</v>
      </c>
      <c r="H1193" t="s">
        <v>285</v>
      </c>
    </row>
    <row r="1194" spans="1:8" x14ac:dyDescent="0.3">
      <c r="A1194">
        <v>1193</v>
      </c>
      <c r="B1194" s="1">
        <v>46068</v>
      </c>
      <c r="C1194" s="2">
        <v>0.8256944444444444</v>
      </c>
      <c r="D1194" t="s">
        <v>8</v>
      </c>
      <c r="E1194" t="s">
        <v>9</v>
      </c>
      <c r="F1194">
        <v>7000</v>
      </c>
      <c r="G1194" t="s">
        <v>273</v>
      </c>
      <c r="H1194" t="s">
        <v>285</v>
      </c>
    </row>
    <row r="1195" spans="1:8" x14ac:dyDescent="0.3">
      <c r="A1195">
        <v>1194</v>
      </c>
      <c r="B1195" s="1">
        <v>46068</v>
      </c>
      <c r="C1195" s="2">
        <v>0.84236111111111112</v>
      </c>
      <c r="D1195" t="s">
        <v>8</v>
      </c>
      <c r="E1195" t="s">
        <v>9</v>
      </c>
      <c r="F1195">
        <v>300</v>
      </c>
      <c r="G1195" t="s">
        <v>185</v>
      </c>
      <c r="H1195" t="s">
        <v>285</v>
      </c>
    </row>
    <row r="1196" spans="1:8" x14ac:dyDescent="0.3">
      <c r="A1196">
        <v>1195</v>
      </c>
      <c r="B1196" s="1">
        <v>46068</v>
      </c>
      <c r="C1196" s="2">
        <v>0.97777777777777775</v>
      </c>
      <c r="D1196" t="s">
        <v>8</v>
      </c>
      <c r="E1196" t="s">
        <v>9</v>
      </c>
      <c r="F1196">
        <v>10000</v>
      </c>
      <c r="G1196" t="s">
        <v>203</v>
      </c>
      <c r="H1196" t="s">
        <v>285</v>
      </c>
    </row>
    <row r="1197" spans="1:8" x14ac:dyDescent="0.3">
      <c r="A1197">
        <v>1196</v>
      </c>
      <c r="B1197" s="1">
        <v>46069</v>
      </c>
      <c r="C1197" s="2">
        <v>0.5854166666666667</v>
      </c>
      <c r="D1197" t="s">
        <v>8</v>
      </c>
      <c r="E1197" t="s">
        <v>9</v>
      </c>
      <c r="F1197">
        <v>2000</v>
      </c>
      <c r="G1197" t="s">
        <v>282</v>
      </c>
      <c r="H1197" t="s">
        <v>285</v>
      </c>
    </row>
    <row r="1198" spans="1:8" x14ac:dyDescent="0.3">
      <c r="A1198">
        <v>1197</v>
      </c>
      <c r="B1198" s="1">
        <v>46069</v>
      </c>
      <c r="C1198" s="2">
        <v>0.85624999999999996</v>
      </c>
      <c r="D1198" t="s">
        <v>22</v>
      </c>
      <c r="E1198" t="s">
        <v>23</v>
      </c>
      <c r="F1198">
        <v>351</v>
      </c>
      <c r="G1198" t="s">
        <v>300</v>
      </c>
      <c r="H1198" t="s">
        <v>285</v>
      </c>
    </row>
    <row r="1199" spans="1:8" x14ac:dyDescent="0.3">
      <c r="A1199">
        <v>1198</v>
      </c>
      <c r="B1199" s="1">
        <v>46070</v>
      </c>
      <c r="C1199" s="2">
        <v>0.49930555555555556</v>
      </c>
      <c r="D1199" t="s">
        <v>8</v>
      </c>
      <c r="E1199" t="s">
        <v>9</v>
      </c>
      <c r="F1199">
        <v>43</v>
      </c>
      <c r="G1199" t="s">
        <v>166</v>
      </c>
      <c r="H1199" t="s">
        <v>285</v>
      </c>
    </row>
    <row r="1200" spans="1:8" x14ac:dyDescent="0.3">
      <c r="A1200">
        <v>1199</v>
      </c>
      <c r="B1200" s="1">
        <v>46071</v>
      </c>
      <c r="C1200" s="2">
        <v>0.63680555555555551</v>
      </c>
      <c r="D1200" t="s">
        <v>22</v>
      </c>
      <c r="E1200" t="s">
        <v>23</v>
      </c>
      <c r="F1200">
        <v>5000</v>
      </c>
      <c r="G1200" t="s">
        <v>301</v>
      </c>
      <c r="H1200" t="s">
        <v>285</v>
      </c>
    </row>
    <row r="1201" spans="1:8" x14ac:dyDescent="0.3">
      <c r="A1201">
        <v>1200</v>
      </c>
      <c r="B1201" s="1">
        <v>46071</v>
      </c>
      <c r="C1201" s="2">
        <v>0.70208333333333328</v>
      </c>
      <c r="D1201" t="s">
        <v>22</v>
      </c>
      <c r="E1201" t="s">
        <v>23</v>
      </c>
      <c r="F1201">
        <v>100</v>
      </c>
      <c r="G1201" t="s">
        <v>156</v>
      </c>
      <c r="H1201" t="s">
        <v>285</v>
      </c>
    </row>
    <row r="1202" spans="1:8" x14ac:dyDescent="0.3">
      <c r="A1202">
        <v>1201</v>
      </c>
      <c r="B1202" s="1">
        <v>46071</v>
      </c>
      <c r="C1202" s="2">
        <v>0.76666666666666672</v>
      </c>
      <c r="D1202" t="s">
        <v>8</v>
      </c>
      <c r="E1202" t="s">
        <v>9</v>
      </c>
      <c r="F1202">
        <v>45</v>
      </c>
      <c r="G1202" t="s">
        <v>294</v>
      </c>
      <c r="H1202" t="s">
        <v>285</v>
      </c>
    </row>
    <row r="1203" spans="1:8" x14ac:dyDescent="0.3">
      <c r="A1203">
        <v>1202</v>
      </c>
      <c r="B1203" s="1">
        <v>46071</v>
      </c>
      <c r="C1203" s="2">
        <v>0.77222222222222225</v>
      </c>
      <c r="D1203" t="s">
        <v>22</v>
      </c>
      <c r="E1203" t="s">
        <v>23</v>
      </c>
      <c r="F1203">
        <v>100</v>
      </c>
      <c r="G1203" t="s">
        <v>59</v>
      </c>
      <c r="H1203" t="s">
        <v>285</v>
      </c>
    </row>
    <row r="1204" spans="1:8" x14ac:dyDescent="0.3">
      <c r="A1204">
        <v>1203</v>
      </c>
      <c r="B1204" s="1">
        <v>46071</v>
      </c>
      <c r="C1204" s="2">
        <v>0.77430555555555558</v>
      </c>
      <c r="D1204" t="s">
        <v>8</v>
      </c>
      <c r="E1204" t="s">
        <v>9</v>
      </c>
      <c r="F1204">
        <v>70</v>
      </c>
      <c r="G1204" t="s">
        <v>240</v>
      </c>
      <c r="H1204" t="s">
        <v>285</v>
      </c>
    </row>
    <row r="1205" spans="1:8" x14ac:dyDescent="0.3">
      <c r="A1205">
        <v>1204</v>
      </c>
      <c r="B1205" s="1">
        <v>46071</v>
      </c>
      <c r="C1205" s="2">
        <v>0.78125</v>
      </c>
      <c r="D1205" t="s">
        <v>8</v>
      </c>
      <c r="E1205" t="s">
        <v>9</v>
      </c>
      <c r="F1205">
        <v>50</v>
      </c>
      <c r="G1205" t="s">
        <v>290</v>
      </c>
      <c r="H1205" t="s">
        <v>285</v>
      </c>
    </row>
    <row r="1206" spans="1:8" x14ac:dyDescent="0.3">
      <c r="A1206">
        <v>1205</v>
      </c>
      <c r="B1206" s="1">
        <v>46071</v>
      </c>
      <c r="C1206" s="2">
        <v>0.78333333333333333</v>
      </c>
      <c r="D1206" t="s">
        <v>8</v>
      </c>
      <c r="E1206" t="s">
        <v>9</v>
      </c>
      <c r="F1206">
        <v>10</v>
      </c>
      <c r="G1206" t="s">
        <v>187</v>
      </c>
      <c r="H1206" t="s">
        <v>285</v>
      </c>
    </row>
    <row r="1207" spans="1:8" x14ac:dyDescent="0.3">
      <c r="A1207">
        <v>1206</v>
      </c>
      <c r="B1207" s="1">
        <v>46071</v>
      </c>
      <c r="C1207" s="2">
        <v>0.78749999999999998</v>
      </c>
      <c r="D1207" t="s">
        <v>8</v>
      </c>
      <c r="E1207" t="s">
        <v>9</v>
      </c>
      <c r="F1207">
        <v>5000</v>
      </c>
      <c r="G1207" t="s">
        <v>203</v>
      </c>
      <c r="H1207" t="s">
        <v>285</v>
      </c>
    </row>
    <row r="1208" spans="1:8" x14ac:dyDescent="0.3">
      <c r="A1208">
        <v>1207</v>
      </c>
      <c r="B1208" s="1">
        <v>46072</v>
      </c>
      <c r="C1208" s="2">
        <v>0.50902777777777775</v>
      </c>
      <c r="D1208" t="s">
        <v>8</v>
      </c>
      <c r="E1208" t="s">
        <v>9</v>
      </c>
      <c r="F1208">
        <v>5000</v>
      </c>
      <c r="G1208" t="s">
        <v>185</v>
      </c>
      <c r="H1208" t="s">
        <v>285</v>
      </c>
    </row>
    <row r="1209" spans="1:8" x14ac:dyDescent="0.3">
      <c r="A1209">
        <v>1208</v>
      </c>
      <c r="B1209" s="1">
        <v>46072</v>
      </c>
      <c r="C1209" s="2">
        <v>0.5395833333333333</v>
      </c>
      <c r="D1209" t="s">
        <v>8</v>
      </c>
      <c r="E1209" t="s">
        <v>9</v>
      </c>
      <c r="F1209">
        <v>500</v>
      </c>
      <c r="G1209" t="s">
        <v>68</v>
      </c>
      <c r="H1209" t="s">
        <v>285</v>
      </c>
    </row>
    <row r="1210" spans="1:8" x14ac:dyDescent="0.3">
      <c r="A1210">
        <v>1209</v>
      </c>
      <c r="B1210" s="1">
        <v>46074</v>
      </c>
      <c r="C1210" s="2">
        <v>0.51527777777777772</v>
      </c>
      <c r="D1210" t="s">
        <v>8</v>
      </c>
      <c r="E1210" t="s">
        <v>9</v>
      </c>
      <c r="F1210">
        <v>5000</v>
      </c>
      <c r="G1210" t="s">
        <v>301</v>
      </c>
      <c r="H1210" t="s">
        <v>285</v>
      </c>
    </row>
    <row r="1211" spans="1:8" x14ac:dyDescent="0.3">
      <c r="A1211">
        <v>1210</v>
      </c>
      <c r="B1211" s="1">
        <v>46074</v>
      </c>
      <c r="C1211" s="2">
        <v>0.71597222222222223</v>
      </c>
      <c r="D1211" t="s">
        <v>22</v>
      </c>
      <c r="E1211" t="s">
        <v>23</v>
      </c>
      <c r="F1211">
        <v>1000</v>
      </c>
      <c r="G1211" t="s">
        <v>30</v>
      </c>
      <c r="H1211" t="s">
        <v>285</v>
      </c>
    </row>
    <row r="1212" spans="1:8" x14ac:dyDescent="0.3">
      <c r="A1212">
        <v>1211</v>
      </c>
      <c r="B1212" s="1">
        <v>46074</v>
      </c>
      <c r="C1212" s="2">
        <v>0.91111111111111109</v>
      </c>
      <c r="D1212" t="s">
        <v>8</v>
      </c>
      <c r="E1212" t="s">
        <v>9</v>
      </c>
      <c r="F1212">
        <v>5</v>
      </c>
      <c r="G1212" t="s">
        <v>166</v>
      </c>
      <c r="H1212" t="s">
        <v>285</v>
      </c>
    </row>
    <row r="1213" spans="1:8" x14ac:dyDescent="0.3">
      <c r="A1213">
        <v>1212</v>
      </c>
      <c r="B1213" s="1">
        <v>46075</v>
      </c>
      <c r="C1213" s="2">
        <v>0.83472222222222225</v>
      </c>
      <c r="D1213" t="s">
        <v>8</v>
      </c>
      <c r="E1213" t="s">
        <v>9</v>
      </c>
      <c r="F1213">
        <v>8</v>
      </c>
      <c r="G1213" t="s">
        <v>211</v>
      </c>
      <c r="H1213" t="s">
        <v>285</v>
      </c>
    </row>
    <row r="1214" spans="1:8" x14ac:dyDescent="0.3">
      <c r="A1214">
        <v>1213</v>
      </c>
      <c r="B1214" s="1">
        <v>46076</v>
      </c>
      <c r="C1214" s="2">
        <v>0.28680555555555554</v>
      </c>
      <c r="D1214" t="s">
        <v>38</v>
      </c>
      <c r="E1214" t="s">
        <v>9</v>
      </c>
      <c r="F1214">
        <v>20</v>
      </c>
      <c r="G1214" t="s">
        <v>302</v>
      </c>
      <c r="H1214" t="s">
        <v>285</v>
      </c>
    </row>
    <row r="1215" spans="1:8" x14ac:dyDescent="0.3">
      <c r="A1215">
        <v>1214</v>
      </c>
      <c r="B1215" s="1">
        <v>46076</v>
      </c>
      <c r="C1215" s="2">
        <v>0.30625000000000002</v>
      </c>
      <c r="D1215" t="s">
        <v>38</v>
      </c>
      <c r="E1215" t="s">
        <v>9</v>
      </c>
      <c r="F1215">
        <v>20</v>
      </c>
      <c r="G1215" t="s">
        <v>302</v>
      </c>
      <c r="H1215" t="s">
        <v>285</v>
      </c>
    </row>
    <row r="1216" spans="1:8" x14ac:dyDescent="0.3">
      <c r="A1216">
        <v>1215</v>
      </c>
      <c r="B1216" s="1">
        <v>46076</v>
      </c>
      <c r="C1216" s="2">
        <v>0.5625</v>
      </c>
      <c r="D1216" t="s">
        <v>8</v>
      </c>
      <c r="E1216" t="s">
        <v>9</v>
      </c>
      <c r="F1216">
        <v>80</v>
      </c>
      <c r="G1216" t="s">
        <v>303</v>
      </c>
      <c r="H1216" t="s">
        <v>285</v>
      </c>
    </row>
    <row r="1217" spans="1:8" x14ac:dyDescent="0.3">
      <c r="A1217">
        <v>1216</v>
      </c>
      <c r="B1217" s="1">
        <v>46077</v>
      </c>
      <c r="C1217" s="2">
        <v>0.49513888888888891</v>
      </c>
      <c r="D1217" t="s">
        <v>8</v>
      </c>
      <c r="E1217" t="s">
        <v>9</v>
      </c>
      <c r="F1217">
        <v>500</v>
      </c>
      <c r="G1217" t="s">
        <v>230</v>
      </c>
      <c r="H1217" t="s">
        <v>285</v>
      </c>
    </row>
    <row r="1218" spans="1:8" x14ac:dyDescent="0.3">
      <c r="A1218">
        <v>1217</v>
      </c>
      <c r="B1218" s="1">
        <v>46077</v>
      </c>
      <c r="C1218" s="2">
        <v>0.61944444444444446</v>
      </c>
      <c r="D1218" t="s">
        <v>22</v>
      </c>
      <c r="E1218" t="s">
        <v>23</v>
      </c>
      <c r="F1218">
        <v>1000</v>
      </c>
      <c r="G1218" t="s">
        <v>59</v>
      </c>
      <c r="H1218" t="s">
        <v>285</v>
      </c>
    </row>
    <row r="1219" spans="1:8" x14ac:dyDescent="0.3">
      <c r="A1219">
        <v>1218</v>
      </c>
      <c r="B1219" s="1">
        <v>46078</v>
      </c>
      <c r="C1219" s="2">
        <v>0.4548611111111111</v>
      </c>
      <c r="D1219" t="s">
        <v>49</v>
      </c>
      <c r="E1219" t="s">
        <v>9</v>
      </c>
      <c r="F1219">
        <v>200</v>
      </c>
      <c r="G1219" t="s">
        <v>304</v>
      </c>
      <c r="H1219" t="s">
        <v>285</v>
      </c>
    </row>
    <row r="1220" spans="1:8" x14ac:dyDescent="0.3">
      <c r="A1220">
        <v>1219</v>
      </c>
      <c r="B1220" s="1">
        <v>46078</v>
      </c>
      <c r="C1220" s="2">
        <v>0.45555555555555555</v>
      </c>
      <c r="D1220" t="s">
        <v>8</v>
      </c>
      <c r="E1220" t="s">
        <v>9</v>
      </c>
      <c r="F1220">
        <v>500</v>
      </c>
      <c r="G1220" t="s">
        <v>203</v>
      </c>
      <c r="H1220" t="s">
        <v>285</v>
      </c>
    </row>
    <row r="1221" spans="1:8" x14ac:dyDescent="0.3">
      <c r="A1221">
        <v>1220</v>
      </c>
      <c r="B1221" s="1">
        <v>46078</v>
      </c>
      <c r="C1221" s="2">
        <v>0.49513888888888891</v>
      </c>
      <c r="D1221" t="s">
        <v>22</v>
      </c>
      <c r="E1221" t="s">
        <v>23</v>
      </c>
      <c r="F1221">
        <v>500</v>
      </c>
      <c r="G1221" t="s">
        <v>305</v>
      </c>
      <c r="H1221" t="s">
        <v>285</v>
      </c>
    </row>
    <row r="1222" spans="1:8" x14ac:dyDescent="0.3">
      <c r="A1222">
        <v>1221</v>
      </c>
      <c r="B1222" s="1">
        <v>46078</v>
      </c>
      <c r="C1222" s="2">
        <v>0.49791666666666667</v>
      </c>
      <c r="D1222" t="s">
        <v>8</v>
      </c>
      <c r="E1222" t="s">
        <v>9</v>
      </c>
      <c r="F1222">
        <v>500</v>
      </c>
      <c r="G1222" t="s">
        <v>12</v>
      </c>
      <c r="H1222" t="s">
        <v>285</v>
      </c>
    </row>
    <row r="1223" spans="1:8" x14ac:dyDescent="0.3">
      <c r="A1223">
        <v>1222</v>
      </c>
      <c r="B1223" s="1">
        <v>46078</v>
      </c>
      <c r="C1223" s="2">
        <v>0.54583333333333328</v>
      </c>
      <c r="D1223" t="s">
        <v>8</v>
      </c>
      <c r="E1223" t="s">
        <v>9</v>
      </c>
      <c r="F1223">
        <v>300</v>
      </c>
      <c r="G1223" t="s">
        <v>306</v>
      </c>
      <c r="H1223" t="s">
        <v>285</v>
      </c>
    </row>
    <row r="1224" spans="1:8" x14ac:dyDescent="0.3">
      <c r="A1224">
        <v>1223</v>
      </c>
      <c r="B1224" s="1">
        <v>46078</v>
      </c>
      <c r="C1224" s="2">
        <v>0.57361111111111107</v>
      </c>
      <c r="D1224" t="s">
        <v>8</v>
      </c>
      <c r="E1224" t="s">
        <v>9</v>
      </c>
      <c r="F1224">
        <v>30</v>
      </c>
      <c r="G1224" t="s">
        <v>307</v>
      </c>
      <c r="H1224" t="s">
        <v>285</v>
      </c>
    </row>
    <row r="1225" spans="1:8" x14ac:dyDescent="0.3">
      <c r="A1225">
        <v>1224</v>
      </c>
      <c r="B1225" s="1">
        <v>46078</v>
      </c>
      <c r="C1225" s="2">
        <v>0.61736111111111114</v>
      </c>
      <c r="D1225" t="s">
        <v>8</v>
      </c>
      <c r="E1225" t="s">
        <v>9</v>
      </c>
      <c r="F1225">
        <v>829.06</v>
      </c>
      <c r="G1225" t="s">
        <v>128</v>
      </c>
      <c r="H1225" t="s">
        <v>285</v>
      </c>
    </row>
    <row r="1226" spans="1:8" x14ac:dyDescent="0.3">
      <c r="A1226">
        <v>1225</v>
      </c>
      <c r="B1226" s="1">
        <v>46078</v>
      </c>
      <c r="C1226" s="2">
        <v>0.625</v>
      </c>
      <c r="D1226" t="s">
        <v>22</v>
      </c>
      <c r="E1226" t="s">
        <v>23</v>
      </c>
      <c r="F1226">
        <v>200</v>
      </c>
      <c r="G1226" t="s">
        <v>35</v>
      </c>
      <c r="H1226" t="s">
        <v>285</v>
      </c>
    </row>
    <row r="1227" spans="1:8" x14ac:dyDescent="0.3">
      <c r="A1227">
        <v>1226</v>
      </c>
      <c r="B1227" s="1">
        <v>46078</v>
      </c>
      <c r="C1227" s="2">
        <v>0.63124999999999998</v>
      </c>
      <c r="D1227" t="s">
        <v>8</v>
      </c>
      <c r="E1227" t="s">
        <v>9</v>
      </c>
      <c r="F1227">
        <v>50</v>
      </c>
      <c r="G1227" t="s">
        <v>308</v>
      </c>
      <c r="H1227" t="s">
        <v>285</v>
      </c>
    </row>
    <row r="1228" spans="1:8" x14ac:dyDescent="0.3">
      <c r="A1228">
        <v>1227</v>
      </c>
      <c r="B1228" s="1">
        <v>46078</v>
      </c>
      <c r="C1228" s="2">
        <v>0.86805555555555558</v>
      </c>
      <c r="D1228" t="s">
        <v>8</v>
      </c>
      <c r="E1228" t="s">
        <v>9</v>
      </c>
      <c r="F1228">
        <v>4000</v>
      </c>
      <c r="G1228" t="s">
        <v>185</v>
      </c>
      <c r="H1228" t="s">
        <v>285</v>
      </c>
    </row>
    <row r="1229" spans="1:8" x14ac:dyDescent="0.3">
      <c r="A1229">
        <v>1228</v>
      </c>
      <c r="B1229" s="1">
        <v>46078</v>
      </c>
      <c r="C1229" s="2">
        <v>0.86944444444444446</v>
      </c>
      <c r="D1229" t="s">
        <v>8</v>
      </c>
      <c r="E1229" t="s">
        <v>9</v>
      </c>
      <c r="F1229">
        <v>500</v>
      </c>
      <c r="G1229" t="s">
        <v>185</v>
      </c>
      <c r="H1229" t="s">
        <v>285</v>
      </c>
    </row>
    <row r="1230" spans="1:8" x14ac:dyDescent="0.3">
      <c r="A1230">
        <v>1229</v>
      </c>
      <c r="B1230" s="1">
        <v>46079</v>
      </c>
      <c r="C1230" s="2">
        <v>0.52916666666666667</v>
      </c>
      <c r="D1230" t="s">
        <v>8</v>
      </c>
      <c r="E1230" t="s">
        <v>9</v>
      </c>
      <c r="F1230">
        <v>500</v>
      </c>
      <c r="G1230" t="s">
        <v>68</v>
      </c>
      <c r="H1230" t="s">
        <v>285</v>
      </c>
    </row>
    <row r="1231" spans="1:8" x14ac:dyDescent="0.3">
      <c r="A1231">
        <v>1230</v>
      </c>
      <c r="B1231" s="1">
        <v>46079</v>
      </c>
      <c r="C1231" s="2">
        <v>0.68263888888888891</v>
      </c>
      <c r="D1231" t="s">
        <v>8</v>
      </c>
      <c r="E1231" t="s">
        <v>9</v>
      </c>
      <c r="F1231">
        <v>31</v>
      </c>
      <c r="G1231" t="s">
        <v>35</v>
      </c>
      <c r="H1231" t="s">
        <v>285</v>
      </c>
    </row>
    <row r="1232" spans="1:8" x14ac:dyDescent="0.3">
      <c r="A1232">
        <v>1231</v>
      </c>
      <c r="B1232" s="1">
        <v>46079</v>
      </c>
      <c r="C1232" s="2">
        <v>0.82013888888888886</v>
      </c>
      <c r="D1232" t="s">
        <v>8</v>
      </c>
      <c r="E1232" t="s">
        <v>9</v>
      </c>
      <c r="F1232">
        <v>200</v>
      </c>
      <c r="G1232" t="s">
        <v>20</v>
      </c>
      <c r="H1232" t="s">
        <v>285</v>
      </c>
    </row>
    <row r="1233" spans="1:8" x14ac:dyDescent="0.3">
      <c r="A1233">
        <v>1232</v>
      </c>
      <c r="B1233" s="1">
        <v>46080</v>
      </c>
      <c r="C1233" s="2">
        <v>0.27361111111111114</v>
      </c>
      <c r="D1233" t="s">
        <v>8</v>
      </c>
      <c r="E1233" t="s">
        <v>9</v>
      </c>
      <c r="F1233">
        <v>300</v>
      </c>
      <c r="G1233" t="s">
        <v>309</v>
      </c>
      <c r="H1233" t="s">
        <v>285</v>
      </c>
    </row>
    <row r="1234" spans="1:8" x14ac:dyDescent="0.3">
      <c r="A1234">
        <v>1233</v>
      </c>
      <c r="B1234" s="1">
        <v>46080</v>
      </c>
      <c r="C1234" s="2">
        <v>0.45902777777777776</v>
      </c>
      <c r="D1234" t="s">
        <v>8</v>
      </c>
      <c r="E1234" t="s">
        <v>9</v>
      </c>
      <c r="F1234">
        <v>200</v>
      </c>
      <c r="G1234" t="s">
        <v>68</v>
      </c>
      <c r="H1234" t="s">
        <v>285</v>
      </c>
    </row>
    <row r="1235" spans="1:8" x14ac:dyDescent="0.3">
      <c r="A1235">
        <v>1234</v>
      </c>
      <c r="B1235" s="1">
        <v>46080</v>
      </c>
      <c r="C1235" s="2">
        <v>0.70833333333333337</v>
      </c>
      <c r="D1235" t="s">
        <v>8</v>
      </c>
      <c r="E1235" t="s">
        <v>9</v>
      </c>
      <c r="F1235">
        <v>10</v>
      </c>
      <c r="G1235" t="s">
        <v>166</v>
      </c>
      <c r="H1235" t="s">
        <v>285</v>
      </c>
    </row>
    <row r="1236" spans="1:8" x14ac:dyDescent="0.3">
      <c r="A1236">
        <v>1235</v>
      </c>
      <c r="B1236" s="1">
        <v>46081</v>
      </c>
      <c r="C1236" s="2">
        <v>0.69027777777777777</v>
      </c>
      <c r="D1236" t="s">
        <v>8</v>
      </c>
      <c r="E1236" t="s">
        <v>9</v>
      </c>
      <c r="F1236">
        <v>500</v>
      </c>
      <c r="G1236" t="s">
        <v>310</v>
      </c>
      <c r="H1236" t="s">
        <v>285</v>
      </c>
    </row>
    <row r="1237" spans="1:8" x14ac:dyDescent="0.3">
      <c r="A1237">
        <v>1236</v>
      </c>
      <c r="B1237" s="1">
        <v>46081</v>
      </c>
      <c r="C1237" s="2">
        <v>0.7319444444444444</v>
      </c>
      <c r="D1237" t="s">
        <v>8</v>
      </c>
      <c r="E1237" t="s">
        <v>9</v>
      </c>
      <c r="F1237">
        <v>700</v>
      </c>
      <c r="G1237" t="s">
        <v>225</v>
      </c>
      <c r="H1237" t="s">
        <v>285</v>
      </c>
    </row>
    <row r="1238" spans="1:8" x14ac:dyDescent="0.3">
      <c r="A1238">
        <v>1237</v>
      </c>
      <c r="B1238" s="1">
        <v>46081</v>
      </c>
      <c r="C1238" s="2">
        <v>0.7319444444444444</v>
      </c>
      <c r="D1238" t="s">
        <v>8</v>
      </c>
      <c r="E1238" t="s">
        <v>9</v>
      </c>
      <c r="F1238">
        <v>100</v>
      </c>
      <c r="G1238" t="s">
        <v>74</v>
      </c>
      <c r="H1238" t="s">
        <v>285</v>
      </c>
    </row>
    <row r="1239" spans="1:8" x14ac:dyDescent="0.3">
      <c r="A1239">
        <v>1238</v>
      </c>
      <c r="B1239" s="1">
        <v>46081</v>
      </c>
      <c r="C1239" s="2">
        <v>0.7319444444444444</v>
      </c>
      <c r="D1239" t="s">
        <v>8</v>
      </c>
      <c r="E1239" t="s">
        <v>9</v>
      </c>
      <c r="F1239">
        <v>9000</v>
      </c>
      <c r="G1239" t="s">
        <v>68</v>
      </c>
      <c r="H1239" t="s">
        <v>285</v>
      </c>
    </row>
    <row r="1240" spans="1:8" x14ac:dyDescent="0.3">
      <c r="A1240">
        <v>1239</v>
      </c>
      <c r="B1240" s="1">
        <v>46081</v>
      </c>
      <c r="C1240" s="2">
        <v>0.73263888888888884</v>
      </c>
      <c r="D1240" t="s">
        <v>8</v>
      </c>
      <c r="E1240" t="s">
        <v>9</v>
      </c>
      <c r="F1240">
        <v>200</v>
      </c>
      <c r="G1240" t="s">
        <v>225</v>
      </c>
      <c r="H1240" t="s">
        <v>285</v>
      </c>
    </row>
    <row r="1241" spans="1:8" x14ac:dyDescent="0.3">
      <c r="A1241">
        <v>1240</v>
      </c>
      <c r="B1241" s="1">
        <v>46081</v>
      </c>
      <c r="C1241" s="2">
        <v>0.73611111111111116</v>
      </c>
      <c r="D1241" t="s">
        <v>8</v>
      </c>
      <c r="E1241" t="s">
        <v>9</v>
      </c>
      <c r="F1241">
        <v>1000</v>
      </c>
      <c r="G1241" t="s">
        <v>68</v>
      </c>
      <c r="H1241" t="s">
        <v>285</v>
      </c>
    </row>
    <row r="1242" spans="1:8" x14ac:dyDescent="0.3">
      <c r="A1242">
        <v>1241</v>
      </c>
      <c r="B1242" s="1">
        <v>46081</v>
      </c>
      <c r="C1242" s="2">
        <v>0.7416666666666667</v>
      </c>
      <c r="D1242" t="s">
        <v>22</v>
      </c>
      <c r="E1242" t="s">
        <v>23</v>
      </c>
      <c r="F1242">
        <v>1000</v>
      </c>
      <c r="G1242" t="s">
        <v>59</v>
      </c>
      <c r="H1242" t="s">
        <v>285</v>
      </c>
    </row>
    <row r="1243" spans="1:8" x14ac:dyDescent="0.3">
      <c r="A1243">
        <v>1242</v>
      </c>
      <c r="B1243" s="1">
        <v>46081</v>
      </c>
      <c r="C1243" s="2">
        <v>0.80555555555555558</v>
      </c>
      <c r="D1243" t="s">
        <v>22</v>
      </c>
      <c r="E1243" t="s">
        <v>23</v>
      </c>
      <c r="F1243">
        <v>2000</v>
      </c>
      <c r="G1243" t="s">
        <v>35</v>
      </c>
      <c r="H1243" t="s">
        <v>285</v>
      </c>
    </row>
    <row r="1244" spans="1:8" x14ac:dyDescent="0.3">
      <c r="A1244">
        <v>1243</v>
      </c>
      <c r="B1244" s="1">
        <v>46081</v>
      </c>
      <c r="C1244" s="2">
        <v>0.80555555555555558</v>
      </c>
      <c r="D1244" t="s">
        <v>8</v>
      </c>
      <c r="E1244" t="s">
        <v>9</v>
      </c>
      <c r="F1244">
        <v>2000</v>
      </c>
      <c r="G1244" t="s">
        <v>156</v>
      </c>
      <c r="H1244" t="s">
        <v>285</v>
      </c>
    </row>
    <row r="1245" spans="1:8" x14ac:dyDescent="0.3">
      <c r="A1245">
        <v>1244</v>
      </c>
      <c r="B1245" s="1">
        <v>46081</v>
      </c>
      <c r="C1245" s="2">
        <v>0.80625000000000002</v>
      </c>
      <c r="D1245" t="s">
        <v>8</v>
      </c>
      <c r="E1245" t="s">
        <v>9</v>
      </c>
      <c r="F1245">
        <v>500</v>
      </c>
      <c r="G1245" t="s">
        <v>225</v>
      </c>
      <c r="H1245" t="s">
        <v>285</v>
      </c>
    </row>
    <row r="1246" spans="1:8" x14ac:dyDescent="0.3">
      <c r="A1246">
        <v>1245</v>
      </c>
      <c r="B1246" s="1">
        <v>46082</v>
      </c>
      <c r="C1246" s="2">
        <v>0.53611111111111109</v>
      </c>
      <c r="D1246" t="s">
        <v>22</v>
      </c>
      <c r="E1246" t="s">
        <v>23</v>
      </c>
      <c r="F1246">
        <v>1000</v>
      </c>
      <c r="G1246" t="s">
        <v>59</v>
      </c>
      <c r="H1246" t="s">
        <v>311</v>
      </c>
    </row>
    <row r="1247" spans="1:8" x14ac:dyDescent="0.3">
      <c r="A1247">
        <v>1246</v>
      </c>
      <c r="B1247" s="1">
        <v>46082</v>
      </c>
      <c r="C1247" s="2">
        <v>0.54097222222222219</v>
      </c>
      <c r="D1247" t="s">
        <v>8</v>
      </c>
      <c r="E1247" t="s">
        <v>9</v>
      </c>
      <c r="F1247">
        <v>1000</v>
      </c>
      <c r="G1247" t="s">
        <v>312</v>
      </c>
      <c r="H1247" t="s">
        <v>311</v>
      </c>
    </row>
    <row r="1248" spans="1:8" x14ac:dyDescent="0.3">
      <c r="A1248">
        <v>1247</v>
      </c>
      <c r="B1248" s="1">
        <v>46082</v>
      </c>
      <c r="C1248" s="2">
        <v>0.91527777777777775</v>
      </c>
      <c r="D1248" t="s">
        <v>8</v>
      </c>
      <c r="E1248" t="s">
        <v>9</v>
      </c>
      <c r="F1248">
        <v>1000</v>
      </c>
      <c r="G1248" t="s">
        <v>20</v>
      </c>
      <c r="H1248" t="s">
        <v>311</v>
      </c>
    </row>
    <row r="1249" spans="1:8" x14ac:dyDescent="0.3">
      <c r="A1249">
        <v>1248</v>
      </c>
      <c r="B1249" s="1">
        <v>46082</v>
      </c>
      <c r="C1249" s="2">
        <v>0.91597222222222219</v>
      </c>
      <c r="D1249" t="s">
        <v>8</v>
      </c>
      <c r="E1249" t="s">
        <v>9</v>
      </c>
      <c r="F1249">
        <v>3000</v>
      </c>
      <c r="G1249" t="s">
        <v>91</v>
      </c>
      <c r="H1249" t="s">
        <v>311</v>
      </c>
    </row>
    <row r="1250" spans="1:8" x14ac:dyDescent="0.3">
      <c r="A1250">
        <v>1249</v>
      </c>
      <c r="B1250" s="1">
        <v>46082</v>
      </c>
      <c r="C1250" s="2">
        <v>0.91597222222222219</v>
      </c>
      <c r="D1250" t="s">
        <v>8</v>
      </c>
      <c r="E1250" t="s">
        <v>9</v>
      </c>
      <c r="F1250">
        <v>2000</v>
      </c>
      <c r="G1250" t="s">
        <v>91</v>
      </c>
      <c r="H1250" t="s">
        <v>311</v>
      </c>
    </row>
    <row r="1251" spans="1:8" x14ac:dyDescent="0.3">
      <c r="A1251">
        <v>1250</v>
      </c>
      <c r="B1251" s="1">
        <v>46083</v>
      </c>
      <c r="C1251" s="2">
        <v>0.53402777777777777</v>
      </c>
      <c r="D1251" t="s">
        <v>8</v>
      </c>
      <c r="E1251" t="s">
        <v>9</v>
      </c>
      <c r="F1251">
        <v>100</v>
      </c>
      <c r="G1251" t="s">
        <v>68</v>
      </c>
      <c r="H1251" t="s">
        <v>311</v>
      </c>
    </row>
    <row r="1252" spans="1:8" x14ac:dyDescent="0.3">
      <c r="A1252">
        <v>1251</v>
      </c>
      <c r="B1252" s="1">
        <v>46083</v>
      </c>
      <c r="C1252" s="2">
        <v>0.76249999999999996</v>
      </c>
      <c r="D1252" t="s">
        <v>8</v>
      </c>
      <c r="E1252" t="s">
        <v>9</v>
      </c>
      <c r="F1252">
        <v>20</v>
      </c>
      <c r="G1252" t="s">
        <v>74</v>
      </c>
      <c r="H1252" t="s">
        <v>311</v>
      </c>
    </row>
    <row r="1253" spans="1:8" x14ac:dyDescent="0.3">
      <c r="A1253">
        <v>1252</v>
      </c>
      <c r="B1253" s="1">
        <v>46084</v>
      </c>
      <c r="C1253" s="2">
        <v>0.4597222222222222</v>
      </c>
      <c r="D1253" t="s">
        <v>22</v>
      </c>
      <c r="E1253" t="s">
        <v>23</v>
      </c>
      <c r="F1253">
        <v>100</v>
      </c>
      <c r="G1253" t="s">
        <v>59</v>
      </c>
      <c r="H1253" t="s">
        <v>311</v>
      </c>
    </row>
    <row r="1254" spans="1:8" x14ac:dyDescent="0.3">
      <c r="A1254">
        <v>1253</v>
      </c>
      <c r="B1254" s="1">
        <v>46084</v>
      </c>
      <c r="C1254" s="2">
        <v>0.77708333333333335</v>
      </c>
      <c r="D1254" t="s">
        <v>8</v>
      </c>
      <c r="E1254" t="s">
        <v>9</v>
      </c>
      <c r="F1254">
        <v>31</v>
      </c>
      <c r="G1254" t="s">
        <v>284</v>
      </c>
      <c r="H1254" t="s">
        <v>311</v>
      </c>
    </row>
    <row r="1255" spans="1:8" x14ac:dyDescent="0.3">
      <c r="A1255">
        <v>1254</v>
      </c>
      <c r="B1255" s="1">
        <v>46085</v>
      </c>
      <c r="C1255" s="2">
        <v>0.31111111111111112</v>
      </c>
      <c r="D1255" t="s">
        <v>22</v>
      </c>
      <c r="E1255" t="s">
        <v>23</v>
      </c>
      <c r="F1255">
        <v>300</v>
      </c>
      <c r="G1255" t="s">
        <v>184</v>
      </c>
      <c r="H1255" t="s">
        <v>311</v>
      </c>
    </row>
    <row r="1256" spans="1:8" x14ac:dyDescent="0.3">
      <c r="A1256">
        <v>1255</v>
      </c>
      <c r="B1256" s="1">
        <v>46085</v>
      </c>
      <c r="C1256" s="2">
        <v>0.3125</v>
      </c>
      <c r="D1256" t="s">
        <v>49</v>
      </c>
      <c r="E1256" t="s">
        <v>9</v>
      </c>
      <c r="F1256">
        <v>300</v>
      </c>
      <c r="G1256" t="s">
        <v>304</v>
      </c>
      <c r="H1256" t="s">
        <v>311</v>
      </c>
    </row>
    <row r="1257" spans="1:8" x14ac:dyDescent="0.3">
      <c r="A1257">
        <v>1256</v>
      </c>
      <c r="B1257" s="1">
        <v>46085</v>
      </c>
      <c r="C1257" s="2">
        <v>0.88402777777777775</v>
      </c>
      <c r="D1257" t="s">
        <v>8</v>
      </c>
      <c r="E1257" t="s">
        <v>9</v>
      </c>
      <c r="F1257">
        <v>240</v>
      </c>
      <c r="G1257" t="s">
        <v>276</v>
      </c>
      <c r="H1257" t="s">
        <v>311</v>
      </c>
    </row>
    <row r="1258" spans="1:8" x14ac:dyDescent="0.3">
      <c r="A1258">
        <v>1257</v>
      </c>
      <c r="B1258" s="1">
        <v>46088</v>
      </c>
      <c r="C1258" s="2">
        <v>0.46805555555555556</v>
      </c>
      <c r="D1258" t="s">
        <v>27</v>
      </c>
      <c r="E1258" t="s">
        <v>9</v>
      </c>
      <c r="F1258">
        <v>240</v>
      </c>
      <c r="G1258" t="s">
        <v>313</v>
      </c>
      <c r="H1258" t="s">
        <v>311</v>
      </c>
    </row>
    <row r="1259" spans="1:8" x14ac:dyDescent="0.3">
      <c r="A1259">
        <v>1258</v>
      </c>
      <c r="B1259" s="1">
        <v>46088</v>
      </c>
      <c r="C1259" s="2">
        <v>0.68680555555555556</v>
      </c>
      <c r="D1259" t="s">
        <v>8</v>
      </c>
      <c r="E1259" t="s">
        <v>9</v>
      </c>
      <c r="F1259">
        <v>50</v>
      </c>
      <c r="G1259" t="s">
        <v>198</v>
      </c>
      <c r="H1259" t="s">
        <v>311</v>
      </c>
    </row>
    <row r="1260" spans="1:8" x14ac:dyDescent="0.3">
      <c r="A1260">
        <v>1259</v>
      </c>
      <c r="B1260" s="1">
        <v>46088</v>
      </c>
      <c r="C1260" s="2">
        <v>0.80625000000000002</v>
      </c>
      <c r="D1260" t="s">
        <v>22</v>
      </c>
      <c r="E1260" t="s">
        <v>23</v>
      </c>
      <c r="F1260">
        <v>1000</v>
      </c>
      <c r="G1260" t="s">
        <v>314</v>
      </c>
      <c r="H1260" t="s">
        <v>311</v>
      </c>
    </row>
    <row r="1261" spans="1:8" x14ac:dyDescent="0.3">
      <c r="A1261">
        <v>1260</v>
      </c>
      <c r="B1261" s="1">
        <v>46089</v>
      </c>
      <c r="C1261" s="2">
        <v>0.38055555555555554</v>
      </c>
      <c r="D1261" t="s">
        <v>22</v>
      </c>
      <c r="E1261" t="s">
        <v>23</v>
      </c>
      <c r="F1261">
        <v>490.4</v>
      </c>
      <c r="G1261" t="s">
        <v>218</v>
      </c>
      <c r="H1261" t="s">
        <v>311</v>
      </c>
    </row>
    <row r="1262" spans="1:8" x14ac:dyDescent="0.3">
      <c r="A1262">
        <v>1261</v>
      </c>
      <c r="B1262" s="1">
        <v>46089</v>
      </c>
      <c r="C1262" s="2">
        <v>0.41597222222222224</v>
      </c>
      <c r="D1262" t="s">
        <v>8</v>
      </c>
      <c r="E1262" t="s">
        <v>9</v>
      </c>
      <c r="F1262">
        <v>147</v>
      </c>
      <c r="G1262" t="s">
        <v>315</v>
      </c>
      <c r="H1262" t="s">
        <v>311</v>
      </c>
    </row>
    <row r="1263" spans="1:8" x14ac:dyDescent="0.3">
      <c r="A1263">
        <v>1262</v>
      </c>
      <c r="B1263" s="1">
        <v>46089</v>
      </c>
      <c r="C1263" s="2">
        <v>0.4201388888888889</v>
      </c>
      <c r="D1263" t="s">
        <v>8</v>
      </c>
      <c r="E1263" t="s">
        <v>9</v>
      </c>
      <c r="F1263">
        <v>1000</v>
      </c>
      <c r="G1263" t="s">
        <v>316</v>
      </c>
      <c r="H1263" t="s">
        <v>311</v>
      </c>
    </row>
    <row r="1264" spans="1:8" x14ac:dyDescent="0.3">
      <c r="A1264">
        <v>1263</v>
      </c>
      <c r="B1264" s="1">
        <v>46089</v>
      </c>
      <c r="C1264" s="2">
        <v>0.4375</v>
      </c>
      <c r="D1264" t="s">
        <v>8</v>
      </c>
      <c r="E1264" t="s">
        <v>9</v>
      </c>
      <c r="F1264">
        <v>300</v>
      </c>
      <c r="G1264" t="s">
        <v>185</v>
      </c>
      <c r="H1264" t="s">
        <v>311</v>
      </c>
    </row>
    <row r="1265" spans="1:8" x14ac:dyDescent="0.3">
      <c r="A1265">
        <v>1264</v>
      </c>
      <c r="B1265" s="1">
        <v>46089</v>
      </c>
      <c r="C1265" s="2">
        <v>0.56041666666666667</v>
      </c>
      <c r="D1265" t="s">
        <v>8</v>
      </c>
      <c r="E1265" t="s">
        <v>9</v>
      </c>
      <c r="F1265">
        <v>200</v>
      </c>
      <c r="G1265" t="s">
        <v>185</v>
      </c>
      <c r="H1265" t="s">
        <v>311</v>
      </c>
    </row>
    <row r="1266" spans="1:8" x14ac:dyDescent="0.3">
      <c r="A1266">
        <v>1265</v>
      </c>
      <c r="B1266" s="1">
        <v>46089</v>
      </c>
      <c r="C1266" s="2">
        <v>0.56041666666666667</v>
      </c>
      <c r="D1266" t="s">
        <v>22</v>
      </c>
      <c r="E1266" t="s">
        <v>23</v>
      </c>
      <c r="F1266">
        <v>100</v>
      </c>
      <c r="G1266" t="s">
        <v>59</v>
      </c>
      <c r="H1266" t="s">
        <v>311</v>
      </c>
    </row>
    <row r="1267" spans="1:8" x14ac:dyDescent="0.3">
      <c r="A1267">
        <v>1266</v>
      </c>
      <c r="B1267" s="1">
        <v>46089</v>
      </c>
      <c r="C1267" s="2">
        <v>0.59097222222222223</v>
      </c>
      <c r="D1267" t="s">
        <v>8</v>
      </c>
      <c r="E1267" t="s">
        <v>9</v>
      </c>
      <c r="F1267">
        <v>157</v>
      </c>
      <c r="G1267" t="s">
        <v>317</v>
      </c>
      <c r="H1267" t="s">
        <v>311</v>
      </c>
    </row>
    <row r="1268" spans="1:8" x14ac:dyDescent="0.3">
      <c r="A1268">
        <v>1267</v>
      </c>
      <c r="B1268" s="1">
        <v>46089</v>
      </c>
      <c r="C1268" s="2">
        <v>0.59305555555555556</v>
      </c>
      <c r="D1268" t="s">
        <v>8</v>
      </c>
      <c r="E1268" t="s">
        <v>9</v>
      </c>
      <c r="F1268">
        <v>10</v>
      </c>
      <c r="G1268" t="s">
        <v>317</v>
      </c>
      <c r="H1268" t="s">
        <v>311</v>
      </c>
    </row>
    <row r="1269" spans="1:8" x14ac:dyDescent="0.3">
      <c r="A1269">
        <v>1268</v>
      </c>
      <c r="B1269" s="1">
        <v>46089</v>
      </c>
      <c r="C1269" s="2">
        <v>0.60624999999999996</v>
      </c>
      <c r="D1269" t="s">
        <v>8</v>
      </c>
      <c r="E1269" t="s">
        <v>9</v>
      </c>
      <c r="F1269">
        <v>80</v>
      </c>
      <c r="G1269" t="s">
        <v>258</v>
      </c>
      <c r="H1269" t="s">
        <v>311</v>
      </c>
    </row>
    <row r="1270" spans="1:8" x14ac:dyDescent="0.3">
      <c r="A1270">
        <v>1269</v>
      </c>
      <c r="B1270" s="1">
        <v>46090</v>
      </c>
      <c r="C1270" s="2">
        <v>0.87569444444444444</v>
      </c>
      <c r="D1270" t="s">
        <v>8</v>
      </c>
      <c r="E1270" t="s">
        <v>9</v>
      </c>
      <c r="F1270">
        <v>500</v>
      </c>
      <c r="G1270" t="s">
        <v>318</v>
      </c>
      <c r="H1270" t="s">
        <v>311</v>
      </c>
    </row>
    <row r="1271" spans="1:8" x14ac:dyDescent="0.3">
      <c r="A1271">
        <v>1270</v>
      </c>
      <c r="B1271" s="1">
        <v>46091</v>
      </c>
      <c r="C1271" s="2">
        <v>0.52569444444444446</v>
      </c>
      <c r="D1271" t="s">
        <v>8</v>
      </c>
      <c r="E1271" t="s">
        <v>9</v>
      </c>
      <c r="F1271">
        <v>4500</v>
      </c>
      <c r="G1271" t="s">
        <v>30</v>
      </c>
      <c r="H1271" t="s">
        <v>311</v>
      </c>
    </row>
    <row r="1272" spans="1:8" x14ac:dyDescent="0.3">
      <c r="A1272">
        <v>1271</v>
      </c>
      <c r="B1272" s="1">
        <v>46094</v>
      </c>
      <c r="C1272" s="2">
        <v>0.78263888888888888</v>
      </c>
      <c r="D1272" t="s">
        <v>22</v>
      </c>
      <c r="E1272" t="s">
        <v>23</v>
      </c>
      <c r="F1272">
        <v>1500</v>
      </c>
      <c r="G1272" t="s">
        <v>319</v>
      </c>
      <c r="H1272" t="s">
        <v>311</v>
      </c>
    </row>
    <row r="1273" spans="1:8" x14ac:dyDescent="0.3">
      <c r="A1273">
        <v>1272</v>
      </c>
      <c r="B1273" s="1">
        <v>46094</v>
      </c>
      <c r="C1273" s="2">
        <v>0.83958333333333335</v>
      </c>
      <c r="D1273" t="s">
        <v>22</v>
      </c>
      <c r="E1273" t="s">
        <v>23</v>
      </c>
      <c r="F1273">
        <v>5</v>
      </c>
      <c r="G1273" t="s">
        <v>320</v>
      </c>
      <c r="H1273" t="s">
        <v>311</v>
      </c>
    </row>
    <row r="1274" spans="1:8" x14ac:dyDescent="0.3">
      <c r="A1274">
        <v>1273</v>
      </c>
      <c r="B1274" s="1">
        <v>46095</v>
      </c>
      <c r="C1274" s="2">
        <v>0.59166666666666667</v>
      </c>
      <c r="D1274" t="s">
        <v>16</v>
      </c>
      <c r="E1274" t="s">
        <v>9</v>
      </c>
      <c r="F1274">
        <v>2000</v>
      </c>
      <c r="G1274" t="s">
        <v>17</v>
      </c>
      <c r="H1274" t="s">
        <v>311</v>
      </c>
    </row>
    <row r="1275" spans="1:8" x14ac:dyDescent="0.3">
      <c r="A1275">
        <v>1274</v>
      </c>
      <c r="B1275" s="1">
        <v>46095</v>
      </c>
      <c r="C1275" s="2">
        <v>0.72152777777777777</v>
      </c>
      <c r="D1275" t="s">
        <v>8</v>
      </c>
      <c r="E1275" t="s">
        <v>9</v>
      </c>
      <c r="F1275">
        <v>10</v>
      </c>
      <c r="G1275" t="s">
        <v>175</v>
      </c>
      <c r="H1275" t="s">
        <v>311</v>
      </c>
    </row>
    <row r="1276" spans="1:8" x14ac:dyDescent="0.3">
      <c r="A1276">
        <v>1275</v>
      </c>
      <c r="B1276" s="1">
        <v>46095</v>
      </c>
      <c r="C1276" s="2">
        <v>0.73055555555555551</v>
      </c>
      <c r="D1276" t="s">
        <v>8</v>
      </c>
      <c r="E1276" t="s">
        <v>9</v>
      </c>
      <c r="F1276">
        <v>10</v>
      </c>
      <c r="G1276" t="s">
        <v>166</v>
      </c>
      <c r="H1276" t="s">
        <v>311</v>
      </c>
    </row>
    <row r="1277" spans="1:8" x14ac:dyDescent="0.3">
      <c r="A1277">
        <v>1276</v>
      </c>
      <c r="B1277" s="1">
        <v>46095</v>
      </c>
      <c r="C1277" s="2">
        <v>0.85555555555555551</v>
      </c>
      <c r="D1277" t="s">
        <v>8</v>
      </c>
      <c r="E1277" t="s">
        <v>9</v>
      </c>
      <c r="F1277">
        <v>60</v>
      </c>
      <c r="G1277" t="s">
        <v>233</v>
      </c>
      <c r="H1277" t="s">
        <v>311</v>
      </c>
    </row>
    <row r="1278" spans="1:8" x14ac:dyDescent="0.3">
      <c r="A1278">
        <v>1277</v>
      </c>
      <c r="B1278" s="1">
        <v>46095</v>
      </c>
      <c r="C1278" s="2">
        <v>0.88124999999999998</v>
      </c>
      <c r="D1278" t="s">
        <v>22</v>
      </c>
      <c r="E1278" t="s">
        <v>23</v>
      </c>
      <c r="F1278">
        <v>60</v>
      </c>
      <c r="G1278" t="s">
        <v>10</v>
      </c>
      <c r="H1278" t="s">
        <v>311</v>
      </c>
    </row>
    <row r="1279" spans="1:8" x14ac:dyDescent="0.3">
      <c r="A1279">
        <v>1278</v>
      </c>
      <c r="B1279" s="1">
        <v>46095</v>
      </c>
      <c r="C1279" s="2">
        <v>0.95694444444444449</v>
      </c>
      <c r="D1279" t="s">
        <v>8</v>
      </c>
      <c r="E1279" t="s">
        <v>9</v>
      </c>
      <c r="F1279">
        <v>4</v>
      </c>
      <c r="G1279" t="s">
        <v>166</v>
      </c>
      <c r="H1279" t="s">
        <v>311</v>
      </c>
    </row>
    <row r="1280" spans="1:8" x14ac:dyDescent="0.3">
      <c r="A1280">
        <v>1279</v>
      </c>
      <c r="B1280" s="1">
        <v>46096</v>
      </c>
      <c r="C1280" s="2">
        <v>0.57222222222222219</v>
      </c>
      <c r="D1280" t="s">
        <v>22</v>
      </c>
      <c r="E1280" t="s">
        <v>23</v>
      </c>
      <c r="F1280">
        <v>2000</v>
      </c>
      <c r="G1280" t="s">
        <v>35</v>
      </c>
      <c r="H1280" t="s">
        <v>311</v>
      </c>
    </row>
    <row r="1281" spans="1:8" x14ac:dyDescent="0.3">
      <c r="A1281">
        <v>1280</v>
      </c>
      <c r="B1281" s="1">
        <v>46096</v>
      </c>
      <c r="C1281" s="2">
        <v>0.66666666666666663</v>
      </c>
      <c r="D1281" t="s">
        <v>8</v>
      </c>
      <c r="E1281" t="s">
        <v>9</v>
      </c>
      <c r="F1281">
        <v>20</v>
      </c>
      <c r="G1281" t="s">
        <v>35</v>
      </c>
      <c r="H1281" t="s">
        <v>311</v>
      </c>
    </row>
    <row r="1282" spans="1:8" x14ac:dyDescent="0.3">
      <c r="A1282">
        <v>1281</v>
      </c>
      <c r="B1282" s="1">
        <v>46096</v>
      </c>
      <c r="C1282" s="2">
        <v>0.90625</v>
      </c>
      <c r="D1282" t="s">
        <v>22</v>
      </c>
      <c r="E1282" t="s">
        <v>23</v>
      </c>
      <c r="F1282">
        <v>200</v>
      </c>
      <c r="G1282" t="s">
        <v>127</v>
      </c>
      <c r="H1282" t="s">
        <v>311</v>
      </c>
    </row>
    <row r="1283" spans="1:8" x14ac:dyDescent="0.3">
      <c r="A1283">
        <v>1282</v>
      </c>
      <c r="B1283" s="1">
        <v>46097</v>
      </c>
      <c r="C1283" s="2">
        <v>0.60416666666666663</v>
      </c>
      <c r="D1283" t="s">
        <v>8</v>
      </c>
      <c r="E1283" t="s">
        <v>9</v>
      </c>
      <c r="F1283">
        <v>300</v>
      </c>
      <c r="G1283" t="s">
        <v>321</v>
      </c>
      <c r="H1283" t="s">
        <v>311</v>
      </c>
    </row>
    <row r="1284" spans="1:8" x14ac:dyDescent="0.3">
      <c r="A1284">
        <v>1283</v>
      </c>
      <c r="B1284" s="1">
        <v>46097</v>
      </c>
      <c r="C1284" s="2">
        <v>0.61111111111111116</v>
      </c>
      <c r="D1284" t="s">
        <v>8</v>
      </c>
      <c r="E1284" t="s">
        <v>9</v>
      </c>
      <c r="F1284">
        <v>600</v>
      </c>
      <c r="G1284" t="s">
        <v>322</v>
      </c>
      <c r="H1284" t="s">
        <v>311</v>
      </c>
    </row>
    <row r="1285" spans="1:8" x14ac:dyDescent="0.3">
      <c r="A1285">
        <v>1284</v>
      </c>
      <c r="B1285" s="1">
        <v>46097</v>
      </c>
      <c r="C1285" s="2">
        <v>0.61875000000000002</v>
      </c>
      <c r="D1285" t="s">
        <v>8</v>
      </c>
      <c r="E1285" t="s">
        <v>9</v>
      </c>
      <c r="F1285">
        <v>400</v>
      </c>
      <c r="G1285" t="s">
        <v>323</v>
      </c>
      <c r="H1285" t="s">
        <v>311</v>
      </c>
    </row>
    <row r="1286" spans="1:8" x14ac:dyDescent="0.3">
      <c r="A1286">
        <v>1285</v>
      </c>
      <c r="B1286" s="1">
        <v>46097</v>
      </c>
      <c r="C1286" s="2">
        <v>0.625</v>
      </c>
      <c r="D1286" t="s">
        <v>8</v>
      </c>
      <c r="E1286" t="s">
        <v>9</v>
      </c>
      <c r="F1286">
        <v>200</v>
      </c>
      <c r="G1286" t="s">
        <v>324</v>
      </c>
      <c r="H1286" t="s">
        <v>311</v>
      </c>
    </row>
    <row r="1287" spans="1:8" x14ac:dyDescent="0.3">
      <c r="A1287">
        <v>1286</v>
      </c>
      <c r="B1287" s="1">
        <v>46097</v>
      </c>
      <c r="C1287" s="2">
        <v>0.62777777777777777</v>
      </c>
      <c r="D1287" t="s">
        <v>8</v>
      </c>
      <c r="E1287" t="s">
        <v>9</v>
      </c>
      <c r="F1287">
        <v>200</v>
      </c>
      <c r="G1287" t="s">
        <v>325</v>
      </c>
      <c r="H1287" t="s">
        <v>311</v>
      </c>
    </row>
    <row r="1288" spans="1:8" x14ac:dyDescent="0.3">
      <c r="A1288">
        <v>1287</v>
      </c>
      <c r="B1288" s="1">
        <v>46097</v>
      </c>
      <c r="C1288" s="2">
        <v>0.63055555555555554</v>
      </c>
      <c r="D1288" t="s">
        <v>38</v>
      </c>
      <c r="E1288" t="s">
        <v>9</v>
      </c>
      <c r="F1288">
        <v>20</v>
      </c>
      <c r="G1288" t="s">
        <v>326</v>
      </c>
      <c r="H1288" t="s">
        <v>311</v>
      </c>
    </row>
    <row r="1289" spans="1:8" x14ac:dyDescent="0.3">
      <c r="A1289">
        <v>1288</v>
      </c>
      <c r="B1289" s="1">
        <v>46097</v>
      </c>
      <c r="C1289" s="2">
        <v>0.76736111111111116</v>
      </c>
      <c r="D1289" t="s">
        <v>8</v>
      </c>
      <c r="E1289" t="s">
        <v>9</v>
      </c>
      <c r="F1289">
        <v>30</v>
      </c>
      <c r="G1289" t="s">
        <v>35</v>
      </c>
      <c r="H1289" t="s">
        <v>311</v>
      </c>
    </row>
    <row r="1290" spans="1:8" x14ac:dyDescent="0.3">
      <c r="A1290">
        <v>1289</v>
      </c>
      <c r="B1290" s="1">
        <v>46097</v>
      </c>
      <c r="C1290" s="2">
        <v>0.77083333333333337</v>
      </c>
      <c r="D1290" t="s">
        <v>22</v>
      </c>
      <c r="E1290" t="s">
        <v>23</v>
      </c>
      <c r="F1290">
        <v>30</v>
      </c>
      <c r="G1290" t="s">
        <v>35</v>
      </c>
      <c r="H1290" t="s">
        <v>311</v>
      </c>
    </row>
    <row r="1291" spans="1:8" x14ac:dyDescent="0.3">
      <c r="A1291">
        <v>1290</v>
      </c>
      <c r="B1291" s="1">
        <v>46097</v>
      </c>
      <c r="C1291" s="2">
        <v>0.77430555555555558</v>
      </c>
      <c r="D1291" t="s">
        <v>8</v>
      </c>
      <c r="E1291" t="s">
        <v>9</v>
      </c>
      <c r="F1291">
        <v>51</v>
      </c>
      <c r="G1291" t="s">
        <v>284</v>
      </c>
      <c r="H1291" t="s">
        <v>311</v>
      </c>
    </row>
    <row r="1292" spans="1:8" x14ac:dyDescent="0.3">
      <c r="A1292">
        <v>1291</v>
      </c>
      <c r="B1292" s="1">
        <v>46097</v>
      </c>
      <c r="C1292" s="2">
        <v>0.77916666666666667</v>
      </c>
      <c r="D1292" t="s">
        <v>8</v>
      </c>
      <c r="E1292" t="s">
        <v>9</v>
      </c>
      <c r="F1292">
        <v>10</v>
      </c>
      <c r="G1292" t="s">
        <v>175</v>
      </c>
      <c r="H1292" t="s">
        <v>311</v>
      </c>
    </row>
    <row r="1293" spans="1:8" x14ac:dyDescent="0.3">
      <c r="A1293">
        <v>1292</v>
      </c>
      <c r="B1293" s="1">
        <v>46097</v>
      </c>
      <c r="C1293" s="2">
        <v>0.80277777777777781</v>
      </c>
      <c r="D1293" t="s">
        <v>8</v>
      </c>
      <c r="E1293" t="s">
        <v>9</v>
      </c>
      <c r="F1293">
        <v>200</v>
      </c>
      <c r="G1293" t="s">
        <v>12</v>
      </c>
      <c r="H1293" t="s">
        <v>311</v>
      </c>
    </row>
    <row r="1294" spans="1:8" x14ac:dyDescent="0.3">
      <c r="A1294">
        <v>1293</v>
      </c>
      <c r="B1294" s="1">
        <v>46104</v>
      </c>
      <c r="C1294" s="2">
        <v>1.9444444444444445E-2</v>
      </c>
      <c r="D1294" t="s">
        <v>8</v>
      </c>
      <c r="E1294" t="s">
        <v>9</v>
      </c>
      <c r="F1294">
        <v>370</v>
      </c>
      <c r="G1294" t="s">
        <v>91</v>
      </c>
      <c r="H1294" t="s">
        <v>311</v>
      </c>
    </row>
    <row r="1295" spans="1:8" x14ac:dyDescent="0.3">
      <c r="A1295">
        <v>1294</v>
      </c>
      <c r="B1295" s="1">
        <v>46104</v>
      </c>
      <c r="C1295" s="2">
        <v>0.78402777777777777</v>
      </c>
      <c r="D1295" t="s">
        <v>8</v>
      </c>
      <c r="E1295" t="s">
        <v>9</v>
      </c>
      <c r="F1295">
        <v>20</v>
      </c>
      <c r="G1295" t="s">
        <v>259</v>
      </c>
      <c r="H1295" t="s">
        <v>311</v>
      </c>
    </row>
    <row r="1296" spans="1:8" x14ac:dyDescent="0.3">
      <c r="A1296">
        <v>1295</v>
      </c>
      <c r="B1296" s="1">
        <v>46104</v>
      </c>
      <c r="C1296" s="2">
        <v>0.78541666666666665</v>
      </c>
      <c r="D1296" t="s">
        <v>8</v>
      </c>
      <c r="E1296" t="s">
        <v>9</v>
      </c>
      <c r="F1296">
        <v>25</v>
      </c>
      <c r="G1296" t="s">
        <v>327</v>
      </c>
      <c r="H1296" t="s">
        <v>311</v>
      </c>
    </row>
    <row r="1297" spans="1:8" x14ac:dyDescent="0.3">
      <c r="A1297">
        <v>1296</v>
      </c>
      <c r="B1297" s="1">
        <v>46104</v>
      </c>
      <c r="C1297" s="2">
        <v>0.78611111111111109</v>
      </c>
      <c r="D1297" t="s">
        <v>8</v>
      </c>
      <c r="E1297" t="s">
        <v>9</v>
      </c>
      <c r="F1297">
        <v>10</v>
      </c>
      <c r="G1297" t="s">
        <v>328</v>
      </c>
      <c r="H1297" t="s">
        <v>311</v>
      </c>
    </row>
    <row r="1298" spans="1:8" x14ac:dyDescent="0.3">
      <c r="A1298">
        <v>1297</v>
      </c>
      <c r="B1298" s="1">
        <v>46104</v>
      </c>
      <c r="C1298" s="2">
        <v>0.85833333333333328</v>
      </c>
      <c r="D1298" t="s">
        <v>8</v>
      </c>
      <c r="E1298" t="s">
        <v>9</v>
      </c>
      <c r="F1298">
        <v>3000</v>
      </c>
      <c r="G1298" t="s">
        <v>12</v>
      </c>
      <c r="H1298" t="s">
        <v>311</v>
      </c>
    </row>
    <row r="1299" spans="1:8" x14ac:dyDescent="0.3">
      <c r="A1299">
        <v>1298</v>
      </c>
      <c r="B1299" s="1">
        <v>46105</v>
      </c>
      <c r="C1299" s="2">
        <v>0.76041666666666663</v>
      </c>
      <c r="D1299" t="s">
        <v>22</v>
      </c>
      <c r="E1299" t="s">
        <v>23</v>
      </c>
      <c r="F1299">
        <v>256.39999999999998</v>
      </c>
      <c r="G1299" t="s">
        <v>218</v>
      </c>
      <c r="H1299" t="s">
        <v>311</v>
      </c>
    </row>
    <row r="1300" spans="1:8" x14ac:dyDescent="0.3">
      <c r="A1300">
        <v>1299</v>
      </c>
      <c r="B1300" s="1">
        <v>46105</v>
      </c>
      <c r="C1300" s="2">
        <v>0.76458333333333328</v>
      </c>
      <c r="D1300" t="s">
        <v>8</v>
      </c>
      <c r="E1300" t="s">
        <v>9</v>
      </c>
      <c r="F1300">
        <v>31</v>
      </c>
      <c r="G1300" t="s">
        <v>284</v>
      </c>
      <c r="H1300" t="s">
        <v>311</v>
      </c>
    </row>
    <row r="1301" spans="1:8" x14ac:dyDescent="0.3">
      <c r="A1301">
        <v>1300</v>
      </c>
      <c r="B1301" s="1">
        <v>46105</v>
      </c>
      <c r="C1301" s="2">
        <v>0.8569444444444444</v>
      </c>
      <c r="D1301" t="s">
        <v>8</v>
      </c>
      <c r="E1301" t="s">
        <v>9</v>
      </c>
      <c r="F1301">
        <v>155</v>
      </c>
      <c r="G1301" t="s">
        <v>265</v>
      </c>
      <c r="H1301" t="s">
        <v>311</v>
      </c>
    </row>
    <row r="1302" spans="1:8" x14ac:dyDescent="0.3">
      <c r="A1302">
        <v>1301</v>
      </c>
      <c r="B1302" s="1">
        <v>46106</v>
      </c>
      <c r="C1302" s="2">
        <v>0.3576388888888889</v>
      </c>
      <c r="D1302" t="s">
        <v>8</v>
      </c>
      <c r="E1302" t="s">
        <v>9</v>
      </c>
      <c r="F1302">
        <v>10</v>
      </c>
      <c r="G1302" t="s">
        <v>166</v>
      </c>
      <c r="H1302" t="s">
        <v>311</v>
      </c>
    </row>
    <row r="1303" spans="1:8" x14ac:dyDescent="0.3">
      <c r="A1303">
        <v>1302</v>
      </c>
      <c r="B1303" s="1">
        <v>46106</v>
      </c>
      <c r="C1303" s="2">
        <v>0.82430555555555551</v>
      </c>
      <c r="D1303" t="s">
        <v>22</v>
      </c>
      <c r="E1303" t="s">
        <v>23</v>
      </c>
      <c r="F1303">
        <v>5000</v>
      </c>
      <c r="G1303" t="s">
        <v>35</v>
      </c>
      <c r="H1303" t="s">
        <v>311</v>
      </c>
    </row>
    <row r="1304" spans="1:8" x14ac:dyDescent="0.3">
      <c r="A1304">
        <v>1303</v>
      </c>
      <c r="B1304" s="1">
        <v>46106</v>
      </c>
      <c r="C1304" s="2">
        <v>0.83819444444444446</v>
      </c>
      <c r="D1304" t="s">
        <v>8</v>
      </c>
      <c r="E1304" t="s">
        <v>9</v>
      </c>
      <c r="F1304">
        <v>5000</v>
      </c>
      <c r="G1304" t="s">
        <v>203</v>
      </c>
      <c r="H1304" t="s">
        <v>311</v>
      </c>
    </row>
    <row r="1305" spans="1:8" x14ac:dyDescent="0.3">
      <c r="A1305">
        <v>1304</v>
      </c>
      <c r="B1305" s="1">
        <v>46107</v>
      </c>
      <c r="C1305" s="2">
        <v>0.42083333333333334</v>
      </c>
      <c r="D1305" t="s">
        <v>8</v>
      </c>
      <c r="E1305" t="s">
        <v>9</v>
      </c>
      <c r="F1305">
        <v>10</v>
      </c>
      <c r="G1305" t="s">
        <v>175</v>
      </c>
      <c r="H1305" t="s">
        <v>311</v>
      </c>
    </row>
    <row r="1306" spans="1:8" x14ac:dyDescent="0.3">
      <c r="A1306">
        <v>1305</v>
      </c>
      <c r="B1306" s="1">
        <v>46107</v>
      </c>
      <c r="C1306" s="2">
        <v>0.80069444444444449</v>
      </c>
      <c r="D1306" t="s">
        <v>8</v>
      </c>
      <c r="E1306" t="s">
        <v>9</v>
      </c>
      <c r="F1306">
        <v>112</v>
      </c>
      <c r="G1306" t="s">
        <v>275</v>
      </c>
      <c r="H1306" t="s">
        <v>311</v>
      </c>
    </row>
    <row r="1307" spans="1:8" x14ac:dyDescent="0.3">
      <c r="A1307">
        <v>1306</v>
      </c>
      <c r="B1307" s="1">
        <v>46107</v>
      </c>
      <c r="C1307" s="2">
        <v>0.91319444444444442</v>
      </c>
      <c r="D1307" t="s">
        <v>22</v>
      </c>
      <c r="E1307" t="s">
        <v>23</v>
      </c>
      <c r="F1307">
        <v>112</v>
      </c>
      <c r="G1307" t="s">
        <v>74</v>
      </c>
      <c r="H1307" t="s">
        <v>311</v>
      </c>
    </row>
    <row r="1308" spans="1:8" x14ac:dyDescent="0.3">
      <c r="A1308">
        <v>1307</v>
      </c>
      <c r="B1308" s="1">
        <v>46109</v>
      </c>
      <c r="C1308" s="2">
        <v>0.49305555555555558</v>
      </c>
      <c r="D1308" t="s">
        <v>8</v>
      </c>
      <c r="E1308" t="s">
        <v>9</v>
      </c>
      <c r="F1308">
        <v>204.7</v>
      </c>
      <c r="G1308" t="s">
        <v>45</v>
      </c>
      <c r="H1308" t="s">
        <v>311</v>
      </c>
    </row>
    <row r="1309" spans="1:8" x14ac:dyDescent="0.3">
      <c r="A1309">
        <v>1308</v>
      </c>
      <c r="B1309" s="1">
        <v>46109</v>
      </c>
      <c r="C1309" s="2">
        <v>0.51111111111111107</v>
      </c>
      <c r="D1309" t="s">
        <v>8</v>
      </c>
      <c r="E1309" t="s">
        <v>9</v>
      </c>
      <c r="F1309">
        <v>136.46</v>
      </c>
      <c r="G1309" t="s">
        <v>45</v>
      </c>
      <c r="H1309" t="s">
        <v>311</v>
      </c>
    </row>
    <row r="1310" spans="1:8" x14ac:dyDescent="0.3">
      <c r="A1310">
        <v>1309</v>
      </c>
      <c r="B1310" s="1">
        <v>46109</v>
      </c>
      <c r="C1310" s="2">
        <v>0.53888888888888886</v>
      </c>
      <c r="D1310" t="s">
        <v>8</v>
      </c>
      <c r="E1310" t="s">
        <v>9</v>
      </c>
      <c r="F1310">
        <v>24</v>
      </c>
      <c r="G1310" t="s">
        <v>329</v>
      </c>
      <c r="H1310" t="s">
        <v>311</v>
      </c>
    </row>
    <row r="1311" spans="1:8" x14ac:dyDescent="0.3">
      <c r="A1311">
        <v>1310</v>
      </c>
      <c r="B1311" s="1">
        <v>46109</v>
      </c>
      <c r="C1311" s="2">
        <v>0.55694444444444446</v>
      </c>
      <c r="D1311" t="s">
        <v>8</v>
      </c>
      <c r="E1311" t="s">
        <v>9</v>
      </c>
      <c r="F1311">
        <v>30</v>
      </c>
      <c r="G1311" t="s">
        <v>330</v>
      </c>
      <c r="H1311" t="s">
        <v>311</v>
      </c>
    </row>
    <row r="1312" spans="1:8" x14ac:dyDescent="0.3">
      <c r="A1312">
        <v>1311</v>
      </c>
      <c r="B1312" s="1">
        <v>46109</v>
      </c>
      <c r="C1312" s="2">
        <v>0.73402777777777772</v>
      </c>
      <c r="D1312" t="s">
        <v>8</v>
      </c>
      <c r="E1312" t="s">
        <v>9</v>
      </c>
      <c r="F1312">
        <v>26</v>
      </c>
      <c r="G1312" t="s">
        <v>166</v>
      </c>
      <c r="H1312" t="s">
        <v>311</v>
      </c>
    </row>
    <row r="1313" spans="1:8" x14ac:dyDescent="0.3">
      <c r="A1313">
        <v>1312</v>
      </c>
      <c r="B1313" s="1">
        <v>46109</v>
      </c>
      <c r="C1313" s="2">
        <v>0.87291666666666667</v>
      </c>
      <c r="D1313" t="s">
        <v>8</v>
      </c>
      <c r="E1313" t="s">
        <v>9</v>
      </c>
      <c r="F1313">
        <v>30</v>
      </c>
      <c r="G1313" t="s">
        <v>74</v>
      </c>
      <c r="H1313" t="s">
        <v>311</v>
      </c>
    </row>
    <row r="1314" spans="1:8" x14ac:dyDescent="0.3">
      <c r="A1314">
        <v>1313</v>
      </c>
      <c r="B1314" s="1">
        <v>46110</v>
      </c>
      <c r="C1314" s="2">
        <v>0.71736111111111112</v>
      </c>
      <c r="D1314" t="s">
        <v>8</v>
      </c>
      <c r="E1314" t="s">
        <v>9</v>
      </c>
      <c r="F1314">
        <v>75</v>
      </c>
      <c r="G1314" t="s">
        <v>331</v>
      </c>
      <c r="H1314" t="s">
        <v>311</v>
      </c>
    </row>
    <row r="1315" spans="1:8" x14ac:dyDescent="0.3">
      <c r="A1315">
        <v>1314</v>
      </c>
      <c r="B1315" s="1">
        <v>46110</v>
      </c>
      <c r="C1315" s="2">
        <v>0.77013888888888893</v>
      </c>
      <c r="D1315" t="s">
        <v>22</v>
      </c>
      <c r="E1315" t="s">
        <v>23</v>
      </c>
      <c r="F1315">
        <v>1000</v>
      </c>
      <c r="G1315" t="s">
        <v>35</v>
      </c>
      <c r="H1315" t="s">
        <v>311</v>
      </c>
    </row>
    <row r="1316" spans="1:8" x14ac:dyDescent="0.3">
      <c r="A1316">
        <v>1315</v>
      </c>
      <c r="B1316" s="1">
        <v>46110</v>
      </c>
      <c r="C1316" s="2">
        <v>0.81041666666666667</v>
      </c>
      <c r="D1316" t="s">
        <v>8</v>
      </c>
      <c r="E1316" t="s">
        <v>9</v>
      </c>
      <c r="F1316">
        <v>1000</v>
      </c>
      <c r="G1316" t="s">
        <v>74</v>
      </c>
      <c r="H1316" t="s">
        <v>311</v>
      </c>
    </row>
    <row r="1317" spans="1:8" x14ac:dyDescent="0.3">
      <c r="A1317">
        <v>1316</v>
      </c>
      <c r="B1317" s="1">
        <v>46111</v>
      </c>
      <c r="C1317" s="2">
        <v>0.50694444444444442</v>
      </c>
      <c r="D1317" t="s">
        <v>8</v>
      </c>
      <c r="E1317" t="s">
        <v>9</v>
      </c>
      <c r="F1317">
        <v>10</v>
      </c>
      <c r="G1317" t="s">
        <v>175</v>
      </c>
      <c r="H1317" t="s">
        <v>311</v>
      </c>
    </row>
    <row r="1318" spans="1:8" x14ac:dyDescent="0.3">
      <c r="A1318">
        <v>1317</v>
      </c>
      <c r="B1318" s="1">
        <v>46111</v>
      </c>
      <c r="C1318" s="2">
        <v>0.68333333333333335</v>
      </c>
      <c r="D1318" t="s">
        <v>8</v>
      </c>
      <c r="E1318" t="s">
        <v>9</v>
      </c>
      <c r="F1318">
        <v>20</v>
      </c>
      <c r="G1318" t="s">
        <v>166</v>
      </c>
      <c r="H1318" t="s">
        <v>311</v>
      </c>
    </row>
    <row r="1319" spans="1:8" x14ac:dyDescent="0.3">
      <c r="A1319">
        <v>1318</v>
      </c>
      <c r="B1319" s="1">
        <v>46111</v>
      </c>
      <c r="C1319" s="2">
        <v>0.71180555555555558</v>
      </c>
      <c r="D1319" t="s">
        <v>8</v>
      </c>
      <c r="E1319" t="s">
        <v>9</v>
      </c>
      <c r="F1319">
        <v>2000</v>
      </c>
      <c r="G1319" t="s">
        <v>185</v>
      </c>
      <c r="H1319" t="s">
        <v>311</v>
      </c>
    </row>
    <row r="1320" spans="1:8" x14ac:dyDescent="0.3">
      <c r="A1320">
        <v>1319</v>
      </c>
      <c r="B1320" s="1">
        <v>46111</v>
      </c>
      <c r="C1320" s="2">
        <v>0.71597222222222223</v>
      </c>
      <c r="D1320" t="s">
        <v>8</v>
      </c>
      <c r="E1320" t="s">
        <v>9</v>
      </c>
      <c r="F1320">
        <v>3000</v>
      </c>
      <c r="G1320" t="s">
        <v>185</v>
      </c>
      <c r="H1320" t="s">
        <v>311</v>
      </c>
    </row>
    <row r="1321" spans="1:8" x14ac:dyDescent="0.3">
      <c r="A1321">
        <v>1320</v>
      </c>
      <c r="B1321" s="1">
        <v>46112</v>
      </c>
      <c r="C1321" s="2">
        <v>0.35</v>
      </c>
      <c r="D1321" t="s">
        <v>8</v>
      </c>
      <c r="E1321" t="s">
        <v>9</v>
      </c>
      <c r="F1321">
        <v>10</v>
      </c>
      <c r="G1321" t="s">
        <v>166</v>
      </c>
      <c r="H1321" t="s">
        <v>311</v>
      </c>
    </row>
    <row r="1322" spans="1:8" x14ac:dyDescent="0.3">
      <c r="A1322">
        <v>1321</v>
      </c>
      <c r="B1322" s="1">
        <v>46112</v>
      </c>
      <c r="C1322" s="2">
        <v>0.47916666666666669</v>
      </c>
      <c r="D1322" t="s">
        <v>22</v>
      </c>
      <c r="E1322" t="s">
        <v>23</v>
      </c>
      <c r="F1322">
        <v>1000</v>
      </c>
      <c r="G1322" t="s">
        <v>59</v>
      </c>
      <c r="H1322" t="s">
        <v>311</v>
      </c>
    </row>
    <row r="1323" spans="1:8" x14ac:dyDescent="0.3">
      <c r="A1323">
        <v>1322</v>
      </c>
      <c r="B1323" s="1">
        <v>46112</v>
      </c>
      <c r="C1323" s="2">
        <v>0.64444444444444449</v>
      </c>
      <c r="D1323" t="s">
        <v>8</v>
      </c>
      <c r="E1323" t="s">
        <v>9</v>
      </c>
      <c r="F1323">
        <v>300</v>
      </c>
      <c r="G1323" t="s">
        <v>332</v>
      </c>
      <c r="H1323" t="s">
        <v>311</v>
      </c>
    </row>
    <row r="1324" spans="1:8" x14ac:dyDescent="0.3">
      <c r="A1324">
        <v>1323</v>
      </c>
      <c r="B1324" s="1">
        <v>46112</v>
      </c>
      <c r="C1324" s="2">
        <v>0.77500000000000002</v>
      </c>
      <c r="D1324" t="s">
        <v>8</v>
      </c>
      <c r="E1324" t="s">
        <v>9</v>
      </c>
      <c r="F1324">
        <v>100</v>
      </c>
      <c r="G1324" t="s">
        <v>68</v>
      </c>
      <c r="H1324" t="s">
        <v>311</v>
      </c>
    </row>
    <row r="1325" spans="1:8" x14ac:dyDescent="0.3">
      <c r="A1325">
        <v>1324</v>
      </c>
      <c r="B1325" s="1">
        <v>46113</v>
      </c>
      <c r="C1325" s="2">
        <v>0.66666666666666663</v>
      </c>
      <c r="D1325" t="s">
        <v>22</v>
      </c>
      <c r="E1325" t="s">
        <v>23</v>
      </c>
      <c r="F1325">
        <v>1000</v>
      </c>
      <c r="G1325" t="s">
        <v>52</v>
      </c>
      <c r="H1325" t="s">
        <v>333</v>
      </c>
    </row>
    <row r="1326" spans="1:8" x14ac:dyDescent="0.3">
      <c r="A1326">
        <v>1325</v>
      </c>
      <c r="B1326" s="1">
        <v>46113</v>
      </c>
      <c r="C1326" s="2">
        <v>0.66666666666666663</v>
      </c>
      <c r="D1326" t="s">
        <v>22</v>
      </c>
      <c r="E1326" t="s">
        <v>23</v>
      </c>
      <c r="F1326">
        <v>1000</v>
      </c>
      <c r="G1326" t="s">
        <v>52</v>
      </c>
      <c r="H1326" t="s">
        <v>333</v>
      </c>
    </row>
    <row r="1327" spans="1:8" x14ac:dyDescent="0.3">
      <c r="A1327">
        <v>1326</v>
      </c>
      <c r="B1327" s="1">
        <v>46113</v>
      </c>
      <c r="C1327" s="2">
        <v>0.77638888888888891</v>
      </c>
      <c r="D1327" t="s">
        <v>8</v>
      </c>
      <c r="E1327" t="s">
        <v>9</v>
      </c>
      <c r="F1327">
        <v>2000</v>
      </c>
      <c r="G1327" t="s">
        <v>156</v>
      </c>
      <c r="H1327" t="s">
        <v>333</v>
      </c>
    </row>
    <row r="1328" spans="1:8" x14ac:dyDescent="0.3">
      <c r="A1328">
        <v>1327</v>
      </c>
      <c r="B1328" s="1">
        <v>46113</v>
      </c>
      <c r="C1328" s="2">
        <v>0.85555555555555551</v>
      </c>
      <c r="D1328" t="s">
        <v>8</v>
      </c>
      <c r="E1328" t="s">
        <v>9</v>
      </c>
      <c r="F1328">
        <v>595</v>
      </c>
      <c r="G1328" t="s">
        <v>334</v>
      </c>
      <c r="H1328" t="s">
        <v>333</v>
      </c>
    </row>
    <row r="1329" spans="1:8" x14ac:dyDescent="0.3">
      <c r="A1329">
        <v>1328</v>
      </c>
      <c r="B1329" s="1">
        <v>46113</v>
      </c>
      <c r="C1329" s="2">
        <v>0.86944444444444446</v>
      </c>
      <c r="D1329" t="s">
        <v>8</v>
      </c>
      <c r="E1329" t="s">
        <v>9</v>
      </c>
      <c r="F1329">
        <v>29</v>
      </c>
      <c r="G1329" t="s">
        <v>259</v>
      </c>
      <c r="H1329" t="s">
        <v>333</v>
      </c>
    </row>
    <row r="1330" spans="1:8" x14ac:dyDescent="0.3">
      <c r="A1330">
        <v>1329</v>
      </c>
      <c r="B1330" s="1">
        <v>46114</v>
      </c>
      <c r="C1330" s="2">
        <v>0.39791666666666664</v>
      </c>
      <c r="D1330" t="s">
        <v>22</v>
      </c>
      <c r="E1330" t="s">
        <v>23</v>
      </c>
      <c r="F1330">
        <v>10000</v>
      </c>
      <c r="G1330" t="s">
        <v>59</v>
      </c>
      <c r="H1330" t="s">
        <v>333</v>
      </c>
    </row>
    <row r="1331" spans="1:8" x14ac:dyDescent="0.3">
      <c r="A1331">
        <v>1330</v>
      </c>
      <c r="B1331" s="1">
        <v>46114</v>
      </c>
      <c r="C1331" s="2">
        <v>0.39861111111111114</v>
      </c>
      <c r="D1331" t="s">
        <v>8</v>
      </c>
      <c r="E1331" t="s">
        <v>9</v>
      </c>
      <c r="F1331">
        <v>10000</v>
      </c>
      <c r="G1331" t="s">
        <v>156</v>
      </c>
      <c r="H1331" t="s">
        <v>333</v>
      </c>
    </row>
    <row r="1332" spans="1:8" x14ac:dyDescent="0.3">
      <c r="A1332">
        <v>1331</v>
      </c>
      <c r="B1332" s="1">
        <v>46114</v>
      </c>
      <c r="C1332" s="2">
        <v>0.8979166666666667</v>
      </c>
      <c r="D1332" t="s">
        <v>8</v>
      </c>
      <c r="E1332" t="s">
        <v>9</v>
      </c>
      <c r="F1332">
        <v>135</v>
      </c>
      <c r="G1332" t="s">
        <v>74</v>
      </c>
      <c r="H1332" t="s">
        <v>333</v>
      </c>
    </row>
    <row r="1333" spans="1:8" x14ac:dyDescent="0.3">
      <c r="A1333">
        <v>1332</v>
      </c>
      <c r="B1333" s="1">
        <v>46115</v>
      </c>
      <c r="C1333" s="2">
        <v>0.64930555555555558</v>
      </c>
      <c r="D1333" t="s">
        <v>8</v>
      </c>
      <c r="E1333" t="s">
        <v>9</v>
      </c>
      <c r="F1333">
        <v>20</v>
      </c>
      <c r="G1333" t="s">
        <v>327</v>
      </c>
      <c r="H1333" t="s">
        <v>333</v>
      </c>
    </row>
    <row r="1334" spans="1:8" x14ac:dyDescent="0.3">
      <c r="A1334">
        <v>1333</v>
      </c>
      <c r="B1334" s="1">
        <v>46115</v>
      </c>
      <c r="C1334" s="2">
        <v>0.76388888888888884</v>
      </c>
      <c r="D1334" t="s">
        <v>8</v>
      </c>
      <c r="E1334" t="s">
        <v>9</v>
      </c>
      <c r="F1334">
        <v>25</v>
      </c>
      <c r="G1334" t="s">
        <v>294</v>
      </c>
      <c r="H1334" t="s">
        <v>333</v>
      </c>
    </row>
    <row r="1335" spans="1:8" x14ac:dyDescent="0.3">
      <c r="A1335">
        <v>1334</v>
      </c>
      <c r="B1335" s="1">
        <v>46115</v>
      </c>
      <c r="C1335" s="2">
        <v>0.87083333333333335</v>
      </c>
      <c r="D1335" t="s">
        <v>22</v>
      </c>
      <c r="E1335" t="s">
        <v>23</v>
      </c>
      <c r="F1335">
        <v>3000</v>
      </c>
      <c r="G1335" t="s">
        <v>59</v>
      </c>
      <c r="H1335" t="s">
        <v>333</v>
      </c>
    </row>
    <row r="1336" spans="1:8" x14ac:dyDescent="0.3">
      <c r="A1336">
        <v>1335</v>
      </c>
      <c r="B1336" s="1">
        <v>46115</v>
      </c>
      <c r="C1336" s="2">
        <v>0.87222222222222223</v>
      </c>
      <c r="D1336" t="s">
        <v>8</v>
      </c>
      <c r="E1336" t="s">
        <v>9</v>
      </c>
      <c r="F1336">
        <v>3000</v>
      </c>
      <c r="G1336" t="s">
        <v>335</v>
      </c>
      <c r="H1336" t="s">
        <v>333</v>
      </c>
    </row>
    <row r="1337" spans="1:8" x14ac:dyDescent="0.3">
      <c r="A1337">
        <v>1336</v>
      </c>
      <c r="B1337" s="1">
        <v>46115</v>
      </c>
      <c r="C1337" s="2">
        <v>0.90833333333333333</v>
      </c>
      <c r="D1337" t="s">
        <v>22</v>
      </c>
      <c r="E1337" t="s">
        <v>23</v>
      </c>
      <c r="F1337">
        <v>6000</v>
      </c>
      <c r="G1337" t="s">
        <v>336</v>
      </c>
      <c r="H1337" t="s">
        <v>333</v>
      </c>
    </row>
    <row r="1338" spans="1:8" x14ac:dyDescent="0.3">
      <c r="A1338">
        <v>1337</v>
      </c>
      <c r="B1338" s="1">
        <v>46116</v>
      </c>
      <c r="C1338" s="2">
        <v>0.43541666666666667</v>
      </c>
      <c r="D1338" t="s">
        <v>8</v>
      </c>
      <c r="E1338" t="s">
        <v>9</v>
      </c>
      <c r="F1338">
        <v>101</v>
      </c>
      <c r="G1338" t="s">
        <v>337</v>
      </c>
      <c r="H1338" t="s">
        <v>333</v>
      </c>
    </row>
    <row r="1339" spans="1:8" x14ac:dyDescent="0.3">
      <c r="A1339">
        <v>1338</v>
      </c>
      <c r="B1339" s="1">
        <v>46116</v>
      </c>
      <c r="C1339" s="2">
        <v>0.43611111111111112</v>
      </c>
      <c r="D1339" t="s">
        <v>8</v>
      </c>
      <c r="E1339" t="s">
        <v>9</v>
      </c>
      <c r="F1339">
        <v>6000</v>
      </c>
      <c r="G1339" t="s">
        <v>203</v>
      </c>
      <c r="H1339" t="s">
        <v>333</v>
      </c>
    </row>
    <row r="1340" spans="1:8" x14ac:dyDescent="0.3">
      <c r="A1340">
        <v>1339</v>
      </c>
      <c r="B1340" s="1">
        <v>46116</v>
      </c>
      <c r="C1340" s="2">
        <v>0.43680555555555556</v>
      </c>
      <c r="D1340" t="s">
        <v>8</v>
      </c>
      <c r="E1340" t="s">
        <v>9</v>
      </c>
      <c r="F1340">
        <v>500</v>
      </c>
      <c r="G1340" t="s">
        <v>338</v>
      </c>
      <c r="H1340" t="s">
        <v>333</v>
      </c>
    </row>
    <row r="1341" spans="1:8" x14ac:dyDescent="0.3">
      <c r="A1341">
        <v>1340</v>
      </c>
      <c r="B1341" s="1">
        <v>46116</v>
      </c>
      <c r="C1341" s="2">
        <v>0.51875000000000004</v>
      </c>
      <c r="D1341" t="s">
        <v>22</v>
      </c>
      <c r="E1341" t="s">
        <v>23</v>
      </c>
      <c r="F1341">
        <v>160</v>
      </c>
      <c r="G1341" t="s">
        <v>59</v>
      </c>
      <c r="H1341" t="s">
        <v>333</v>
      </c>
    </row>
    <row r="1342" spans="1:8" x14ac:dyDescent="0.3">
      <c r="A1342">
        <v>1341</v>
      </c>
      <c r="B1342" s="1">
        <v>46116</v>
      </c>
      <c r="C1342" s="2">
        <v>0.51944444444444449</v>
      </c>
      <c r="D1342" t="s">
        <v>8</v>
      </c>
      <c r="E1342" t="s">
        <v>9</v>
      </c>
      <c r="F1342">
        <v>153</v>
      </c>
      <c r="G1342" t="s">
        <v>339</v>
      </c>
      <c r="H1342" t="s">
        <v>333</v>
      </c>
    </row>
    <row r="1343" spans="1:8" x14ac:dyDescent="0.3">
      <c r="A1343">
        <v>1342</v>
      </c>
      <c r="B1343" s="1">
        <v>46116</v>
      </c>
      <c r="C1343" s="2">
        <v>0.54027777777777775</v>
      </c>
      <c r="D1343" t="s">
        <v>8</v>
      </c>
      <c r="E1343" t="s">
        <v>9</v>
      </c>
      <c r="F1343">
        <v>5160</v>
      </c>
      <c r="G1343" t="s">
        <v>68</v>
      </c>
      <c r="H1343" t="s">
        <v>333</v>
      </c>
    </row>
    <row r="1344" spans="1:8" x14ac:dyDescent="0.3">
      <c r="A1344">
        <v>1343</v>
      </c>
      <c r="B1344" s="1">
        <v>46116</v>
      </c>
      <c r="C1344" s="2">
        <v>0.55972222222222223</v>
      </c>
      <c r="D1344" t="s">
        <v>22</v>
      </c>
      <c r="E1344" t="s">
        <v>23</v>
      </c>
      <c r="F1344">
        <v>1000</v>
      </c>
      <c r="G1344" t="s">
        <v>239</v>
      </c>
      <c r="H1344" t="s">
        <v>333</v>
      </c>
    </row>
    <row r="1345" spans="1:8" x14ac:dyDescent="0.3">
      <c r="A1345">
        <v>1344</v>
      </c>
      <c r="B1345" s="1">
        <v>46116</v>
      </c>
      <c r="C1345" s="2">
        <v>0.56111111111111112</v>
      </c>
      <c r="D1345" t="s">
        <v>8</v>
      </c>
      <c r="E1345" t="s">
        <v>9</v>
      </c>
      <c r="F1345">
        <v>1000</v>
      </c>
      <c r="G1345" t="s">
        <v>12</v>
      </c>
      <c r="H1345" t="s">
        <v>333</v>
      </c>
    </row>
    <row r="1346" spans="1:8" x14ac:dyDescent="0.3">
      <c r="A1346">
        <v>1345</v>
      </c>
      <c r="B1346" s="1">
        <v>46116</v>
      </c>
      <c r="C1346" s="2">
        <v>0.76944444444444449</v>
      </c>
      <c r="D1346" t="s">
        <v>8</v>
      </c>
      <c r="E1346" t="s">
        <v>9</v>
      </c>
      <c r="F1346">
        <v>31</v>
      </c>
      <c r="G1346" t="s">
        <v>284</v>
      </c>
      <c r="H1346" t="s">
        <v>333</v>
      </c>
    </row>
    <row r="1347" spans="1:8" x14ac:dyDescent="0.3">
      <c r="A1347">
        <v>1346</v>
      </c>
      <c r="B1347" s="1">
        <v>46116</v>
      </c>
      <c r="C1347" s="2">
        <v>0.81805555555555554</v>
      </c>
      <c r="D1347" t="s">
        <v>22</v>
      </c>
      <c r="E1347" t="s">
        <v>23</v>
      </c>
      <c r="F1347">
        <v>5000</v>
      </c>
      <c r="G1347" t="s">
        <v>59</v>
      </c>
      <c r="H1347" t="s">
        <v>333</v>
      </c>
    </row>
    <row r="1348" spans="1:8" x14ac:dyDescent="0.3">
      <c r="A1348">
        <v>1347</v>
      </c>
      <c r="B1348" s="1">
        <v>46116</v>
      </c>
      <c r="C1348" s="2">
        <v>0.81944444444444442</v>
      </c>
      <c r="D1348" t="s">
        <v>8</v>
      </c>
      <c r="E1348" t="s">
        <v>9</v>
      </c>
      <c r="F1348">
        <v>5000</v>
      </c>
      <c r="G1348" t="s">
        <v>340</v>
      </c>
      <c r="H1348" t="s">
        <v>333</v>
      </c>
    </row>
    <row r="1349" spans="1:8" x14ac:dyDescent="0.3">
      <c r="A1349">
        <v>1348</v>
      </c>
      <c r="B1349" s="1">
        <v>46117</v>
      </c>
      <c r="C1349" s="2">
        <v>6.1805555555555558E-2</v>
      </c>
      <c r="D1349" t="s">
        <v>22</v>
      </c>
      <c r="E1349" t="s">
        <v>23</v>
      </c>
      <c r="F1349">
        <v>500</v>
      </c>
      <c r="G1349" t="s">
        <v>341</v>
      </c>
      <c r="H1349" t="s">
        <v>333</v>
      </c>
    </row>
    <row r="1350" spans="1:8" x14ac:dyDescent="0.3">
      <c r="A1350">
        <v>1349</v>
      </c>
      <c r="B1350" s="1">
        <v>46117</v>
      </c>
      <c r="C1350" s="2">
        <v>0.41180555555555554</v>
      </c>
      <c r="D1350" t="s">
        <v>8</v>
      </c>
      <c r="E1350" t="s">
        <v>9</v>
      </c>
      <c r="F1350">
        <v>5000</v>
      </c>
      <c r="G1350" t="s">
        <v>68</v>
      </c>
      <c r="H1350" t="s">
        <v>333</v>
      </c>
    </row>
    <row r="1351" spans="1:8" x14ac:dyDescent="0.3">
      <c r="A1351">
        <v>1350</v>
      </c>
      <c r="B1351" s="1">
        <v>46117</v>
      </c>
      <c r="C1351" s="2">
        <v>0.50208333333333333</v>
      </c>
      <c r="D1351" t="s">
        <v>22</v>
      </c>
      <c r="E1351" t="s">
        <v>23</v>
      </c>
      <c r="F1351">
        <v>2000</v>
      </c>
      <c r="G1351" t="s">
        <v>35</v>
      </c>
      <c r="H1351" t="s">
        <v>333</v>
      </c>
    </row>
    <row r="1352" spans="1:8" x14ac:dyDescent="0.3">
      <c r="A1352">
        <v>1351</v>
      </c>
      <c r="B1352" s="1">
        <v>46117</v>
      </c>
      <c r="C1352" s="2">
        <v>0.7631944444444444</v>
      </c>
      <c r="D1352" t="s">
        <v>8</v>
      </c>
      <c r="E1352" t="s">
        <v>9</v>
      </c>
      <c r="F1352">
        <v>31</v>
      </c>
      <c r="G1352" t="s">
        <v>284</v>
      </c>
      <c r="H1352" t="s">
        <v>333</v>
      </c>
    </row>
    <row r="1353" spans="1:8" x14ac:dyDescent="0.3">
      <c r="A1353">
        <v>1352</v>
      </c>
      <c r="B1353" s="1">
        <v>46118</v>
      </c>
      <c r="C1353" s="2">
        <v>0.31597222222222221</v>
      </c>
      <c r="D1353" t="s">
        <v>22</v>
      </c>
      <c r="E1353" t="s">
        <v>23</v>
      </c>
      <c r="F1353">
        <v>300</v>
      </c>
      <c r="G1353" t="s">
        <v>184</v>
      </c>
      <c r="H1353" t="s">
        <v>333</v>
      </c>
    </row>
    <row r="1354" spans="1:8" x14ac:dyDescent="0.3">
      <c r="A1354">
        <v>1353</v>
      </c>
      <c r="B1354" s="1">
        <v>46118</v>
      </c>
      <c r="C1354" s="2">
        <v>0.36458333333333331</v>
      </c>
      <c r="D1354" t="s">
        <v>8</v>
      </c>
      <c r="E1354" t="s">
        <v>9</v>
      </c>
      <c r="F1354">
        <v>3000</v>
      </c>
      <c r="G1354" t="s">
        <v>68</v>
      </c>
      <c r="H1354" t="s">
        <v>333</v>
      </c>
    </row>
    <row r="1355" spans="1:8" x14ac:dyDescent="0.3">
      <c r="A1355">
        <v>1354</v>
      </c>
      <c r="B1355" s="1">
        <v>46118</v>
      </c>
      <c r="C1355" s="2">
        <v>0.44166666666666665</v>
      </c>
      <c r="D1355" t="s">
        <v>8</v>
      </c>
      <c r="E1355" t="s">
        <v>9</v>
      </c>
      <c r="F1355">
        <v>6000</v>
      </c>
      <c r="G1355" t="s">
        <v>260</v>
      </c>
      <c r="H1355" t="s">
        <v>333</v>
      </c>
    </row>
    <row r="1356" spans="1:8" x14ac:dyDescent="0.3">
      <c r="A1356">
        <v>1355</v>
      </c>
      <c r="B1356" s="1">
        <v>46118</v>
      </c>
      <c r="C1356" s="2">
        <v>0.59652777777777777</v>
      </c>
      <c r="D1356" t="s">
        <v>8</v>
      </c>
      <c r="E1356" t="s">
        <v>9</v>
      </c>
      <c r="F1356">
        <v>20</v>
      </c>
      <c r="G1356" t="s">
        <v>166</v>
      </c>
      <c r="H1356" t="s">
        <v>333</v>
      </c>
    </row>
    <row r="1357" spans="1:8" x14ac:dyDescent="0.3">
      <c r="A1357">
        <v>1356</v>
      </c>
      <c r="B1357" s="1">
        <v>46118</v>
      </c>
      <c r="C1357" s="2">
        <v>0.89444444444444449</v>
      </c>
      <c r="D1357" t="s">
        <v>22</v>
      </c>
      <c r="E1357" t="s">
        <v>23</v>
      </c>
      <c r="F1357">
        <v>168</v>
      </c>
      <c r="G1357" t="s">
        <v>59</v>
      </c>
      <c r="H1357" t="s">
        <v>333</v>
      </c>
    </row>
    <row r="1358" spans="1:8" x14ac:dyDescent="0.3">
      <c r="A1358">
        <v>1357</v>
      </c>
      <c r="B1358" s="1">
        <v>46118</v>
      </c>
      <c r="C1358" s="2">
        <v>0.89513888888888893</v>
      </c>
      <c r="D1358" t="s">
        <v>8</v>
      </c>
      <c r="E1358" t="s">
        <v>9</v>
      </c>
      <c r="F1358">
        <v>168</v>
      </c>
      <c r="G1358" t="s">
        <v>342</v>
      </c>
      <c r="H1358" t="s">
        <v>333</v>
      </c>
    </row>
    <row r="1359" spans="1:8" x14ac:dyDescent="0.3">
      <c r="A1359">
        <v>1358</v>
      </c>
      <c r="B1359" s="1">
        <v>46118</v>
      </c>
      <c r="C1359" s="2">
        <v>0.89583333333333337</v>
      </c>
      <c r="D1359" t="s">
        <v>16</v>
      </c>
      <c r="E1359" t="s">
        <v>9</v>
      </c>
      <c r="F1359">
        <v>300</v>
      </c>
      <c r="G1359" t="s">
        <v>17</v>
      </c>
      <c r="H1359" t="s">
        <v>333</v>
      </c>
    </row>
    <row r="1360" spans="1:8" x14ac:dyDescent="0.3">
      <c r="A1360">
        <v>1359</v>
      </c>
      <c r="B1360" s="1">
        <v>46119</v>
      </c>
      <c r="C1360" s="2">
        <v>0.39166666666666666</v>
      </c>
      <c r="D1360" t="s">
        <v>8</v>
      </c>
      <c r="E1360" t="s">
        <v>9</v>
      </c>
      <c r="F1360">
        <v>12000</v>
      </c>
      <c r="G1360" t="s">
        <v>246</v>
      </c>
      <c r="H1360" t="s">
        <v>333</v>
      </c>
    </row>
    <row r="1361" spans="1:8" x14ac:dyDescent="0.3">
      <c r="A1361">
        <v>1360</v>
      </c>
      <c r="B1361" s="1">
        <v>46119</v>
      </c>
      <c r="C1361" s="2">
        <v>0.72222222222222221</v>
      </c>
      <c r="D1361" t="s">
        <v>22</v>
      </c>
      <c r="E1361" t="s">
        <v>23</v>
      </c>
      <c r="F1361">
        <v>40</v>
      </c>
      <c r="G1361" t="s">
        <v>12</v>
      </c>
      <c r="H1361" t="s">
        <v>333</v>
      </c>
    </row>
    <row r="1362" spans="1:8" x14ac:dyDescent="0.3">
      <c r="A1362">
        <v>1361</v>
      </c>
      <c r="B1362" s="1">
        <v>46119</v>
      </c>
      <c r="C1362" s="2">
        <v>0.72916666666666663</v>
      </c>
      <c r="D1362" t="s">
        <v>8</v>
      </c>
      <c r="E1362" t="s">
        <v>9</v>
      </c>
      <c r="F1362">
        <v>40</v>
      </c>
      <c r="G1362" t="s">
        <v>35</v>
      </c>
      <c r="H1362" t="s">
        <v>333</v>
      </c>
    </row>
    <row r="1363" spans="1:8" x14ac:dyDescent="0.3">
      <c r="A1363">
        <v>1362</v>
      </c>
      <c r="B1363" s="1">
        <v>46120</v>
      </c>
      <c r="C1363" s="2">
        <v>0.73750000000000004</v>
      </c>
      <c r="D1363" t="s">
        <v>8</v>
      </c>
      <c r="E1363" t="s">
        <v>9</v>
      </c>
      <c r="F1363">
        <v>300</v>
      </c>
      <c r="G1363" t="s">
        <v>321</v>
      </c>
      <c r="H1363" t="s">
        <v>333</v>
      </c>
    </row>
    <row r="1364" spans="1:8" x14ac:dyDescent="0.3">
      <c r="A1364">
        <v>1363</v>
      </c>
      <c r="B1364" s="1">
        <v>46120</v>
      </c>
      <c r="C1364" s="2">
        <v>0.73958333333333337</v>
      </c>
      <c r="D1364" t="s">
        <v>8</v>
      </c>
      <c r="E1364" t="s">
        <v>9</v>
      </c>
      <c r="F1364">
        <v>200</v>
      </c>
      <c r="G1364" t="s">
        <v>322</v>
      </c>
      <c r="H1364" t="s">
        <v>333</v>
      </c>
    </row>
    <row r="1365" spans="1:8" x14ac:dyDescent="0.3">
      <c r="A1365">
        <v>1364</v>
      </c>
      <c r="B1365" s="1">
        <v>46120</v>
      </c>
      <c r="C1365" s="2">
        <v>0.74097222222222225</v>
      </c>
      <c r="D1365" t="s">
        <v>8</v>
      </c>
      <c r="E1365" t="s">
        <v>9</v>
      </c>
      <c r="F1365">
        <v>50</v>
      </c>
      <c r="G1365" t="s">
        <v>343</v>
      </c>
      <c r="H1365" t="s">
        <v>333</v>
      </c>
    </row>
    <row r="1366" spans="1:8" x14ac:dyDescent="0.3">
      <c r="A1366">
        <v>1365</v>
      </c>
      <c r="B1366" s="1">
        <v>46120</v>
      </c>
      <c r="C1366" s="2">
        <v>0.8833333333333333</v>
      </c>
      <c r="D1366" t="s">
        <v>22</v>
      </c>
      <c r="E1366" t="s">
        <v>23</v>
      </c>
      <c r="F1366">
        <v>2000</v>
      </c>
      <c r="G1366" t="s">
        <v>35</v>
      </c>
      <c r="H1366" t="s">
        <v>333</v>
      </c>
    </row>
    <row r="1367" spans="1:8" x14ac:dyDescent="0.3">
      <c r="A1367">
        <v>1366</v>
      </c>
      <c r="B1367" s="1">
        <v>46120</v>
      </c>
      <c r="C1367" s="2">
        <v>0.98750000000000004</v>
      </c>
      <c r="D1367" t="s">
        <v>22</v>
      </c>
      <c r="E1367" t="s">
        <v>23</v>
      </c>
      <c r="F1367">
        <v>1000</v>
      </c>
      <c r="G1367" t="s">
        <v>74</v>
      </c>
      <c r="H1367" t="s">
        <v>333</v>
      </c>
    </row>
    <row r="1368" spans="1:8" x14ac:dyDescent="0.3">
      <c r="A1368">
        <v>1367</v>
      </c>
      <c r="B1368" s="1">
        <v>46121</v>
      </c>
      <c r="C1368" s="2">
        <v>0.55694444444444446</v>
      </c>
      <c r="D1368" t="s">
        <v>8</v>
      </c>
      <c r="E1368" t="s">
        <v>9</v>
      </c>
      <c r="F1368">
        <v>1000</v>
      </c>
      <c r="G1368" t="s">
        <v>344</v>
      </c>
      <c r="H1368" t="s">
        <v>333</v>
      </c>
    </row>
    <row r="1369" spans="1:8" x14ac:dyDescent="0.3">
      <c r="A1369">
        <v>1368</v>
      </c>
      <c r="B1369" s="1">
        <v>46121</v>
      </c>
      <c r="C1369" s="2">
        <v>0.70347222222222228</v>
      </c>
      <c r="D1369" t="s">
        <v>8</v>
      </c>
      <c r="E1369" t="s">
        <v>9</v>
      </c>
      <c r="F1369">
        <v>60</v>
      </c>
      <c r="G1369" t="s">
        <v>253</v>
      </c>
      <c r="H1369" t="s">
        <v>333</v>
      </c>
    </row>
    <row r="1370" spans="1:8" x14ac:dyDescent="0.3">
      <c r="A1370">
        <v>1369</v>
      </c>
      <c r="B1370" s="1">
        <v>46121</v>
      </c>
      <c r="C1370" s="2">
        <v>0.75902777777777775</v>
      </c>
      <c r="D1370" t="s">
        <v>8</v>
      </c>
      <c r="E1370" t="s">
        <v>9</v>
      </c>
      <c r="F1370">
        <v>60</v>
      </c>
      <c r="G1370" t="s">
        <v>253</v>
      </c>
      <c r="H1370" t="s">
        <v>333</v>
      </c>
    </row>
    <row r="1371" spans="1:8" x14ac:dyDescent="0.3">
      <c r="A1371">
        <v>1370</v>
      </c>
      <c r="B1371" s="1">
        <v>46121</v>
      </c>
      <c r="C1371" s="2">
        <v>0.79791666666666672</v>
      </c>
      <c r="D1371" t="s">
        <v>8</v>
      </c>
      <c r="E1371" t="s">
        <v>9</v>
      </c>
      <c r="F1371">
        <v>60</v>
      </c>
      <c r="G1371" t="s">
        <v>345</v>
      </c>
      <c r="H1371" t="s">
        <v>333</v>
      </c>
    </row>
    <row r="1372" spans="1:8" x14ac:dyDescent="0.3">
      <c r="A1372">
        <v>1371</v>
      </c>
      <c r="B1372" s="1">
        <v>46121</v>
      </c>
      <c r="C1372" s="2">
        <v>0.8256944444444444</v>
      </c>
      <c r="D1372" t="s">
        <v>22</v>
      </c>
      <c r="E1372" t="s">
        <v>23</v>
      </c>
      <c r="F1372">
        <v>1500</v>
      </c>
      <c r="G1372" t="s">
        <v>35</v>
      </c>
      <c r="H1372" t="s">
        <v>333</v>
      </c>
    </row>
    <row r="1373" spans="1:8" x14ac:dyDescent="0.3">
      <c r="A1373">
        <v>1372</v>
      </c>
      <c r="B1373" s="1">
        <v>46121</v>
      </c>
      <c r="C1373" s="2">
        <v>0.82708333333333328</v>
      </c>
      <c r="D1373" t="s">
        <v>22</v>
      </c>
      <c r="E1373" t="s">
        <v>23</v>
      </c>
      <c r="F1373">
        <v>6000</v>
      </c>
      <c r="G1373" t="s">
        <v>29</v>
      </c>
      <c r="H1373" t="s">
        <v>333</v>
      </c>
    </row>
    <row r="1374" spans="1:8" x14ac:dyDescent="0.3">
      <c r="A1374">
        <v>1373</v>
      </c>
      <c r="B1374" s="1">
        <v>46121</v>
      </c>
      <c r="C1374" s="2">
        <v>0.82708333333333328</v>
      </c>
      <c r="D1374" t="s">
        <v>22</v>
      </c>
      <c r="E1374" t="s">
        <v>23</v>
      </c>
      <c r="F1374">
        <v>300</v>
      </c>
      <c r="G1374" t="s">
        <v>59</v>
      </c>
      <c r="H1374" t="s">
        <v>333</v>
      </c>
    </row>
    <row r="1375" spans="1:8" x14ac:dyDescent="0.3">
      <c r="A1375">
        <v>1374</v>
      </c>
      <c r="B1375" s="1">
        <v>46121</v>
      </c>
      <c r="C1375" s="2">
        <v>0.83125000000000004</v>
      </c>
      <c r="D1375" t="s">
        <v>8</v>
      </c>
      <c r="E1375" t="s">
        <v>9</v>
      </c>
      <c r="F1375">
        <v>2000</v>
      </c>
      <c r="G1375" t="s">
        <v>203</v>
      </c>
      <c r="H1375" t="s">
        <v>333</v>
      </c>
    </row>
    <row r="1376" spans="1:8" x14ac:dyDescent="0.3">
      <c r="A1376">
        <v>1375</v>
      </c>
      <c r="B1376" s="1">
        <v>46121</v>
      </c>
      <c r="C1376" s="2">
        <v>0.86041666666666672</v>
      </c>
      <c r="D1376" t="s">
        <v>22</v>
      </c>
      <c r="E1376" t="s">
        <v>23</v>
      </c>
      <c r="F1376">
        <v>2000</v>
      </c>
      <c r="G1376" t="s">
        <v>12</v>
      </c>
      <c r="H1376" t="s">
        <v>333</v>
      </c>
    </row>
    <row r="1377" spans="1:8" x14ac:dyDescent="0.3">
      <c r="A1377">
        <v>1376</v>
      </c>
      <c r="B1377" s="1">
        <v>46121</v>
      </c>
      <c r="C1377" s="2">
        <v>0.8666666666666667</v>
      </c>
      <c r="D1377" t="s">
        <v>8</v>
      </c>
      <c r="E1377" t="s">
        <v>9</v>
      </c>
      <c r="F1377">
        <v>2000</v>
      </c>
      <c r="G1377" t="s">
        <v>203</v>
      </c>
      <c r="H1377" t="s">
        <v>333</v>
      </c>
    </row>
    <row r="1378" spans="1:8" x14ac:dyDescent="0.3">
      <c r="A1378">
        <v>1377</v>
      </c>
      <c r="B1378" s="1">
        <v>46122</v>
      </c>
      <c r="C1378" s="2">
        <v>0.67152777777777772</v>
      </c>
      <c r="D1378" t="s">
        <v>8</v>
      </c>
      <c r="E1378" t="s">
        <v>9</v>
      </c>
      <c r="F1378">
        <v>50</v>
      </c>
      <c r="G1378" t="s">
        <v>346</v>
      </c>
      <c r="H1378" t="s">
        <v>333</v>
      </c>
    </row>
    <row r="1379" spans="1:8" x14ac:dyDescent="0.3">
      <c r="A1379">
        <v>1378</v>
      </c>
      <c r="B1379" s="1">
        <v>46122</v>
      </c>
      <c r="C1379" s="2">
        <v>0.94652777777777775</v>
      </c>
      <c r="D1379" t="s">
        <v>22</v>
      </c>
      <c r="E1379" t="s">
        <v>23</v>
      </c>
      <c r="F1379">
        <v>2000</v>
      </c>
      <c r="G1379" t="s">
        <v>59</v>
      </c>
      <c r="H1379" t="s">
        <v>333</v>
      </c>
    </row>
    <row r="1380" spans="1:8" x14ac:dyDescent="0.3">
      <c r="A1380">
        <v>1379</v>
      </c>
      <c r="B1380" s="1">
        <v>46122</v>
      </c>
      <c r="C1380" s="2">
        <v>0.94791666666666663</v>
      </c>
      <c r="D1380" t="s">
        <v>8</v>
      </c>
      <c r="E1380" t="s">
        <v>9</v>
      </c>
      <c r="F1380">
        <v>2000</v>
      </c>
      <c r="G1380" t="s">
        <v>347</v>
      </c>
      <c r="H1380" t="s">
        <v>333</v>
      </c>
    </row>
    <row r="1381" spans="1:8" x14ac:dyDescent="0.3">
      <c r="A1381">
        <v>1380</v>
      </c>
      <c r="B1381" s="1">
        <v>46123</v>
      </c>
      <c r="C1381" s="2">
        <v>0.19930555555555557</v>
      </c>
      <c r="D1381" t="s">
        <v>8</v>
      </c>
      <c r="E1381" t="s">
        <v>9</v>
      </c>
      <c r="F1381">
        <v>400</v>
      </c>
      <c r="G1381" t="s">
        <v>348</v>
      </c>
      <c r="H1381" t="s">
        <v>333</v>
      </c>
    </row>
    <row r="1382" spans="1:8" x14ac:dyDescent="0.3">
      <c r="A1382">
        <v>1381</v>
      </c>
      <c r="B1382" s="1">
        <v>46123</v>
      </c>
      <c r="C1382" s="2">
        <v>0.50624999999999998</v>
      </c>
      <c r="D1382" t="s">
        <v>8</v>
      </c>
      <c r="E1382" t="s">
        <v>9</v>
      </c>
      <c r="F1382">
        <v>365</v>
      </c>
      <c r="G1382" t="s">
        <v>349</v>
      </c>
      <c r="H1382" t="s">
        <v>333</v>
      </c>
    </row>
    <row r="1383" spans="1:8" x14ac:dyDescent="0.3">
      <c r="A1383">
        <v>1382</v>
      </c>
      <c r="B1383" s="1">
        <v>46123</v>
      </c>
      <c r="C1383" s="2">
        <v>0.55625000000000002</v>
      </c>
      <c r="D1383" t="s">
        <v>8</v>
      </c>
      <c r="E1383" t="s">
        <v>9</v>
      </c>
      <c r="F1383">
        <v>4000</v>
      </c>
      <c r="G1383" t="s">
        <v>68</v>
      </c>
      <c r="H1383" t="s">
        <v>333</v>
      </c>
    </row>
    <row r="1384" spans="1:8" x14ac:dyDescent="0.3">
      <c r="A1384">
        <v>1383</v>
      </c>
      <c r="B1384" s="1">
        <v>46123</v>
      </c>
      <c r="C1384" s="2">
        <v>0.55625000000000002</v>
      </c>
      <c r="D1384" t="s">
        <v>8</v>
      </c>
      <c r="E1384" t="s">
        <v>9</v>
      </c>
      <c r="F1384">
        <v>2000</v>
      </c>
      <c r="G1384" t="s">
        <v>68</v>
      </c>
      <c r="H1384" t="s">
        <v>333</v>
      </c>
    </row>
    <row r="1385" spans="1:8" x14ac:dyDescent="0.3">
      <c r="A1385">
        <v>1384</v>
      </c>
      <c r="B1385" s="1">
        <v>46123</v>
      </c>
      <c r="C1385" s="2">
        <v>0.82291666666666663</v>
      </c>
      <c r="D1385" t="s">
        <v>8</v>
      </c>
      <c r="E1385" t="s">
        <v>9</v>
      </c>
      <c r="F1385">
        <v>120</v>
      </c>
      <c r="G1385" t="s">
        <v>350</v>
      </c>
      <c r="H1385" t="s">
        <v>333</v>
      </c>
    </row>
    <row r="1386" spans="1:8" x14ac:dyDescent="0.3">
      <c r="A1386">
        <v>1385</v>
      </c>
      <c r="B1386" s="1">
        <v>46123</v>
      </c>
      <c r="C1386" s="2">
        <v>0.83611111111111114</v>
      </c>
      <c r="D1386" t="s">
        <v>8</v>
      </c>
      <c r="E1386" t="s">
        <v>9</v>
      </c>
      <c r="F1386">
        <v>140</v>
      </c>
      <c r="G1386" t="s">
        <v>351</v>
      </c>
      <c r="H1386" t="s">
        <v>333</v>
      </c>
    </row>
    <row r="1387" spans="1:8" x14ac:dyDescent="0.3">
      <c r="A1387">
        <v>1386</v>
      </c>
      <c r="B1387" s="1">
        <v>46123</v>
      </c>
      <c r="C1387" s="2">
        <v>0.83819444444444446</v>
      </c>
      <c r="D1387" t="s">
        <v>8</v>
      </c>
      <c r="E1387" t="s">
        <v>9</v>
      </c>
      <c r="F1387">
        <v>20</v>
      </c>
      <c r="G1387" t="s">
        <v>352</v>
      </c>
      <c r="H1387" t="s">
        <v>333</v>
      </c>
    </row>
    <row r="1388" spans="1:8" x14ac:dyDescent="0.3">
      <c r="A1388">
        <v>1387</v>
      </c>
      <c r="B1388" s="1">
        <v>46123</v>
      </c>
      <c r="C1388" s="2">
        <v>0.98055555555555551</v>
      </c>
      <c r="D1388" t="s">
        <v>8</v>
      </c>
      <c r="E1388" t="s">
        <v>9</v>
      </c>
      <c r="F1388">
        <v>8500</v>
      </c>
      <c r="G1388" t="s">
        <v>68</v>
      </c>
      <c r="H1388" t="s">
        <v>333</v>
      </c>
    </row>
    <row r="1389" spans="1:8" x14ac:dyDescent="0.3">
      <c r="A1389">
        <v>1388</v>
      </c>
      <c r="B1389" s="1">
        <v>46124</v>
      </c>
      <c r="C1389" s="2">
        <v>0.16944444444444445</v>
      </c>
      <c r="D1389" t="s">
        <v>8</v>
      </c>
      <c r="E1389" t="s">
        <v>9</v>
      </c>
      <c r="F1389">
        <v>30</v>
      </c>
      <c r="G1389" t="s">
        <v>353</v>
      </c>
      <c r="H1389" t="s">
        <v>333</v>
      </c>
    </row>
    <row r="1390" spans="1:8" x14ac:dyDescent="0.3">
      <c r="A1390">
        <v>1389</v>
      </c>
      <c r="B1390" s="1">
        <v>46124</v>
      </c>
      <c r="C1390" s="2">
        <v>0.30763888888888891</v>
      </c>
      <c r="D1390" t="s">
        <v>8</v>
      </c>
      <c r="E1390" t="s">
        <v>9</v>
      </c>
      <c r="F1390">
        <v>800</v>
      </c>
      <c r="G1390" t="s">
        <v>354</v>
      </c>
      <c r="H1390" t="s">
        <v>333</v>
      </c>
    </row>
    <row r="1391" spans="1:8" x14ac:dyDescent="0.3">
      <c r="A1391">
        <v>1390</v>
      </c>
      <c r="B1391" s="1">
        <v>46124</v>
      </c>
      <c r="C1391" s="2">
        <v>0.42430555555555555</v>
      </c>
      <c r="D1391" t="s">
        <v>8</v>
      </c>
      <c r="E1391" t="s">
        <v>9</v>
      </c>
      <c r="F1391">
        <v>150</v>
      </c>
      <c r="G1391" t="s">
        <v>355</v>
      </c>
      <c r="H1391" t="s">
        <v>333</v>
      </c>
    </row>
    <row r="1392" spans="1:8" x14ac:dyDescent="0.3">
      <c r="A1392">
        <v>1391</v>
      </c>
      <c r="B1392" s="1">
        <v>46124</v>
      </c>
      <c r="C1392" s="2">
        <v>0.45277777777777778</v>
      </c>
      <c r="D1392" t="s">
        <v>8</v>
      </c>
      <c r="E1392" t="s">
        <v>9</v>
      </c>
      <c r="F1392">
        <v>600</v>
      </c>
      <c r="G1392" t="s">
        <v>356</v>
      </c>
      <c r="H1392" t="s">
        <v>333</v>
      </c>
    </row>
    <row r="1393" spans="1:8" x14ac:dyDescent="0.3">
      <c r="A1393">
        <v>1392</v>
      </c>
      <c r="B1393" s="1">
        <v>46124</v>
      </c>
      <c r="C1393" s="2">
        <v>0.49652777777777779</v>
      </c>
      <c r="D1393" t="s">
        <v>8</v>
      </c>
      <c r="E1393" t="s">
        <v>9</v>
      </c>
      <c r="F1393">
        <v>100</v>
      </c>
      <c r="G1393" t="s">
        <v>357</v>
      </c>
      <c r="H1393" t="s">
        <v>333</v>
      </c>
    </row>
    <row r="1394" spans="1:8" x14ac:dyDescent="0.3">
      <c r="A1394">
        <v>1393</v>
      </c>
      <c r="B1394" s="1">
        <v>46124</v>
      </c>
      <c r="C1394" s="2">
        <v>0.49722222222222223</v>
      </c>
      <c r="D1394" t="s">
        <v>8</v>
      </c>
      <c r="E1394" t="s">
        <v>9</v>
      </c>
      <c r="F1394">
        <v>50</v>
      </c>
      <c r="G1394" t="s">
        <v>357</v>
      </c>
      <c r="H1394" t="s">
        <v>333</v>
      </c>
    </row>
    <row r="1395" spans="1:8" x14ac:dyDescent="0.3">
      <c r="A1395">
        <v>1394</v>
      </c>
      <c r="B1395" s="1">
        <v>46124</v>
      </c>
      <c r="C1395" s="2">
        <v>0.49930555555555556</v>
      </c>
      <c r="D1395" t="s">
        <v>8</v>
      </c>
      <c r="E1395" t="s">
        <v>9</v>
      </c>
      <c r="F1395">
        <v>40</v>
      </c>
      <c r="G1395" t="s">
        <v>358</v>
      </c>
      <c r="H1395" t="s">
        <v>333</v>
      </c>
    </row>
    <row r="1396" spans="1:8" x14ac:dyDescent="0.3">
      <c r="A1396">
        <v>1395</v>
      </c>
      <c r="B1396" s="1">
        <v>46124</v>
      </c>
      <c r="C1396" s="2">
        <v>0.65</v>
      </c>
      <c r="D1396" t="s">
        <v>8</v>
      </c>
      <c r="E1396" t="s">
        <v>9</v>
      </c>
      <c r="F1396">
        <v>6000</v>
      </c>
      <c r="G1396" t="s">
        <v>68</v>
      </c>
      <c r="H1396" t="s">
        <v>333</v>
      </c>
    </row>
    <row r="1397" spans="1:8" x14ac:dyDescent="0.3">
      <c r="A1397">
        <v>1396</v>
      </c>
      <c r="B1397" s="1">
        <v>46124</v>
      </c>
      <c r="C1397" s="2">
        <v>0.65902777777777777</v>
      </c>
      <c r="D1397" t="s">
        <v>8</v>
      </c>
      <c r="E1397" t="s">
        <v>9</v>
      </c>
      <c r="F1397">
        <v>70</v>
      </c>
      <c r="G1397" t="s">
        <v>359</v>
      </c>
      <c r="H1397" t="s">
        <v>333</v>
      </c>
    </row>
    <row r="1398" spans="1:8" x14ac:dyDescent="0.3">
      <c r="A1398">
        <v>1397</v>
      </c>
      <c r="B1398" s="1">
        <v>46124</v>
      </c>
      <c r="C1398" s="2">
        <v>0.65972222222222221</v>
      </c>
      <c r="D1398" t="s">
        <v>8</v>
      </c>
      <c r="E1398" t="s">
        <v>9</v>
      </c>
      <c r="F1398">
        <v>70</v>
      </c>
      <c r="G1398" t="s">
        <v>359</v>
      </c>
      <c r="H1398" t="s">
        <v>333</v>
      </c>
    </row>
    <row r="1399" spans="1:8" x14ac:dyDescent="0.3">
      <c r="A1399">
        <v>1398</v>
      </c>
      <c r="B1399" s="1">
        <v>46124</v>
      </c>
      <c r="C1399" s="2">
        <v>0.70277777777777772</v>
      </c>
      <c r="D1399" t="s">
        <v>8</v>
      </c>
      <c r="E1399" t="s">
        <v>9</v>
      </c>
      <c r="F1399">
        <v>10</v>
      </c>
      <c r="G1399" t="s">
        <v>360</v>
      </c>
      <c r="H1399" t="s">
        <v>333</v>
      </c>
    </row>
    <row r="1400" spans="1:8" x14ac:dyDescent="0.3">
      <c r="A1400">
        <v>1399</v>
      </c>
      <c r="B1400" s="1">
        <v>46124</v>
      </c>
      <c r="C1400" s="2">
        <v>0.79236111111111107</v>
      </c>
      <c r="D1400" t="s">
        <v>8</v>
      </c>
      <c r="E1400" t="s">
        <v>9</v>
      </c>
      <c r="F1400">
        <v>80</v>
      </c>
      <c r="G1400" t="s">
        <v>361</v>
      </c>
      <c r="H1400" t="s">
        <v>333</v>
      </c>
    </row>
    <row r="1401" spans="1:8" x14ac:dyDescent="0.3">
      <c r="A1401">
        <v>1400</v>
      </c>
      <c r="B1401" s="1">
        <v>46124</v>
      </c>
      <c r="C1401" s="2">
        <v>0.81527777777777777</v>
      </c>
      <c r="D1401" t="s">
        <v>22</v>
      </c>
      <c r="E1401" t="s">
        <v>23</v>
      </c>
      <c r="F1401">
        <v>6000</v>
      </c>
      <c r="G1401" t="s">
        <v>59</v>
      </c>
      <c r="H1401" t="s">
        <v>333</v>
      </c>
    </row>
    <row r="1402" spans="1:8" x14ac:dyDescent="0.3">
      <c r="A1402">
        <v>1401</v>
      </c>
      <c r="B1402" s="1">
        <v>46124</v>
      </c>
      <c r="C1402" s="2">
        <v>0.89375000000000004</v>
      </c>
      <c r="D1402" t="s">
        <v>8</v>
      </c>
      <c r="E1402" t="s">
        <v>9</v>
      </c>
      <c r="F1402">
        <v>290</v>
      </c>
      <c r="G1402" t="s">
        <v>362</v>
      </c>
      <c r="H1402" t="s">
        <v>333</v>
      </c>
    </row>
    <row r="1403" spans="1:8" x14ac:dyDescent="0.3">
      <c r="A1403">
        <v>1402</v>
      </c>
      <c r="B1403" s="1">
        <v>46124</v>
      </c>
      <c r="C1403" s="2">
        <v>0.90347222222222223</v>
      </c>
      <c r="D1403" t="s">
        <v>8</v>
      </c>
      <c r="E1403" t="s">
        <v>9</v>
      </c>
      <c r="F1403">
        <v>50</v>
      </c>
      <c r="G1403" t="s">
        <v>363</v>
      </c>
      <c r="H1403" t="s">
        <v>333</v>
      </c>
    </row>
    <row r="1404" spans="1:8" x14ac:dyDescent="0.3">
      <c r="A1404">
        <v>1403</v>
      </c>
      <c r="B1404" s="1">
        <v>46125</v>
      </c>
      <c r="C1404" s="2">
        <v>0.26111111111111113</v>
      </c>
      <c r="D1404" t="s">
        <v>8</v>
      </c>
      <c r="E1404" t="s">
        <v>9</v>
      </c>
      <c r="F1404">
        <v>180</v>
      </c>
      <c r="G1404" t="s">
        <v>253</v>
      </c>
      <c r="H1404" t="s">
        <v>333</v>
      </c>
    </row>
    <row r="1405" spans="1:8" x14ac:dyDescent="0.3">
      <c r="A1405">
        <v>1404</v>
      </c>
      <c r="B1405" s="1">
        <v>46125</v>
      </c>
      <c r="C1405" s="2">
        <v>0.46041666666666664</v>
      </c>
      <c r="D1405" t="s">
        <v>8</v>
      </c>
      <c r="E1405" t="s">
        <v>9</v>
      </c>
      <c r="F1405">
        <v>8000</v>
      </c>
      <c r="G1405" t="s">
        <v>68</v>
      </c>
      <c r="H1405" t="s">
        <v>333</v>
      </c>
    </row>
    <row r="1406" spans="1:8" x14ac:dyDescent="0.3">
      <c r="A1406">
        <v>1405</v>
      </c>
      <c r="B1406" s="1">
        <v>46125</v>
      </c>
      <c r="C1406" s="2">
        <v>0.46111111111111114</v>
      </c>
      <c r="D1406" t="s">
        <v>8</v>
      </c>
      <c r="E1406" t="s">
        <v>9</v>
      </c>
      <c r="F1406">
        <v>290</v>
      </c>
      <c r="G1406" t="s">
        <v>20</v>
      </c>
      <c r="H1406" t="s">
        <v>333</v>
      </c>
    </row>
    <row r="1407" spans="1:8" x14ac:dyDescent="0.3">
      <c r="A1407">
        <v>1406</v>
      </c>
      <c r="B1407" s="1">
        <v>46125</v>
      </c>
      <c r="C1407" s="2">
        <v>0.65833333333333333</v>
      </c>
      <c r="D1407" t="s">
        <v>8</v>
      </c>
      <c r="E1407" t="s">
        <v>9</v>
      </c>
      <c r="F1407">
        <v>350</v>
      </c>
      <c r="G1407" t="s">
        <v>334</v>
      </c>
      <c r="H1407" t="s">
        <v>333</v>
      </c>
    </row>
    <row r="1408" spans="1:8" x14ac:dyDescent="0.3">
      <c r="A1408">
        <v>1407</v>
      </c>
      <c r="B1408" s="1">
        <v>46125</v>
      </c>
      <c r="C1408" s="2">
        <v>0.67847222222222225</v>
      </c>
      <c r="D1408" t="s">
        <v>8</v>
      </c>
      <c r="E1408" t="s">
        <v>9</v>
      </c>
      <c r="F1408">
        <v>100</v>
      </c>
      <c r="G1408" t="s">
        <v>258</v>
      </c>
      <c r="H1408" t="s">
        <v>333</v>
      </c>
    </row>
    <row r="1409" spans="1:8" x14ac:dyDescent="0.3">
      <c r="A1409">
        <v>1408</v>
      </c>
      <c r="B1409" s="1">
        <v>46126</v>
      </c>
      <c r="C1409" s="2">
        <v>0.71875</v>
      </c>
      <c r="D1409" t="s">
        <v>8</v>
      </c>
      <c r="E1409" t="s">
        <v>9</v>
      </c>
      <c r="F1409">
        <v>5000</v>
      </c>
      <c r="G1409" t="s">
        <v>68</v>
      </c>
      <c r="H1409" t="s">
        <v>333</v>
      </c>
    </row>
    <row r="1410" spans="1:8" x14ac:dyDescent="0.3">
      <c r="A1410">
        <v>1409</v>
      </c>
      <c r="B1410" s="1">
        <v>46126</v>
      </c>
      <c r="C1410" s="2">
        <v>0.74583333333333335</v>
      </c>
      <c r="D1410" t="s">
        <v>8</v>
      </c>
      <c r="E1410" t="s">
        <v>9</v>
      </c>
      <c r="F1410">
        <v>1000</v>
      </c>
      <c r="G1410" t="s">
        <v>185</v>
      </c>
      <c r="H1410" t="s">
        <v>333</v>
      </c>
    </row>
    <row r="1411" spans="1:8" x14ac:dyDescent="0.3">
      <c r="A1411">
        <v>1410</v>
      </c>
      <c r="B1411" s="1">
        <v>46127</v>
      </c>
      <c r="C1411" s="2">
        <v>0.34791666666666665</v>
      </c>
      <c r="D1411" t="s">
        <v>8</v>
      </c>
      <c r="E1411" t="s">
        <v>9</v>
      </c>
      <c r="F1411">
        <v>10</v>
      </c>
      <c r="G1411" t="s">
        <v>166</v>
      </c>
      <c r="H1411" t="s">
        <v>333</v>
      </c>
    </row>
    <row r="1412" spans="1:8" x14ac:dyDescent="0.3">
      <c r="A1412">
        <v>1411</v>
      </c>
      <c r="B1412" s="1">
        <v>46127</v>
      </c>
      <c r="C1412" s="2">
        <v>0.43125000000000002</v>
      </c>
      <c r="D1412" t="s">
        <v>8</v>
      </c>
      <c r="E1412" t="s">
        <v>9</v>
      </c>
      <c r="F1412">
        <v>54</v>
      </c>
      <c r="G1412" t="s">
        <v>24</v>
      </c>
      <c r="H1412" t="s">
        <v>333</v>
      </c>
    </row>
    <row r="1413" spans="1:8" x14ac:dyDescent="0.3">
      <c r="A1413">
        <v>1412</v>
      </c>
      <c r="B1413" s="1">
        <v>46127</v>
      </c>
      <c r="C1413" s="2">
        <v>0.55069444444444449</v>
      </c>
      <c r="D1413" t="s">
        <v>8</v>
      </c>
      <c r="E1413" t="s">
        <v>9</v>
      </c>
      <c r="F1413">
        <v>5</v>
      </c>
      <c r="G1413" t="s">
        <v>258</v>
      </c>
      <c r="H1413" t="s">
        <v>333</v>
      </c>
    </row>
    <row r="1414" spans="1:8" x14ac:dyDescent="0.3">
      <c r="A1414">
        <v>1413</v>
      </c>
      <c r="B1414" s="1">
        <v>46127</v>
      </c>
      <c r="C1414" s="2">
        <v>0.55208333333333337</v>
      </c>
      <c r="D1414" t="s">
        <v>8</v>
      </c>
      <c r="E1414" t="s">
        <v>9</v>
      </c>
      <c r="F1414">
        <v>40</v>
      </c>
      <c r="G1414" t="s">
        <v>364</v>
      </c>
      <c r="H1414" t="s">
        <v>333</v>
      </c>
    </row>
    <row r="1415" spans="1:8" x14ac:dyDescent="0.3">
      <c r="A1415">
        <v>1414</v>
      </c>
      <c r="B1415" s="1">
        <v>46127</v>
      </c>
      <c r="C1415" s="2">
        <v>0.57361111111111107</v>
      </c>
      <c r="D1415" t="s">
        <v>8</v>
      </c>
      <c r="E1415" t="s">
        <v>9</v>
      </c>
      <c r="F1415">
        <v>30</v>
      </c>
      <c r="G1415" t="s">
        <v>365</v>
      </c>
      <c r="H1415" t="s">
        <v>333</v>
      </c>
    </row>
    <row r="1416" spans="1:8" x14ac:dyDescent="0.3">
      <c r="A1416">
        <v>1415</v>
      </c>
      <c r="B1416" s="1">
        <v>46127</v>
      </c>
      <c r="C1416" s="2">
        <v>0.76875000000000004</v>
      </c>
      <c r="D1416" t="s">
        <v>22</v>
      </c>
      <c r="E1416" t="s">
        <v>23</v>
      </c>
      <c r="F1416">
        <v>30</v>
      </c>
      <c r="G1416" t="s">
        <v>74</v>
      </c>
      <c r="H1416" t="s">
        <v>333</v>
      </c>
    </row>
    <row r="1417" spans="1:8" x14ac:dyDescent="0.3">
      <c r="A1417">
        <v>1416</v>
      </c>
      <c r="B1417" s="1">
        <v>46127</v>
      </c>
      <c r="C1417" s="2">
        <v>0.77222222222222225</v>
      </c>
      <c r="D1417" t="s">
        <v>8</v>
      </c>
      <c r="E1417" t="s">
        <v>9</v>
      </c>
      <c r="F1417">
        <v>31</v>
      </c>
      <c r="G1417" t="s">
        <v>284</v>
      </c>
      <c r="H1417" t="s">
        <v>333</v>
      </c>
    </row>
    <row r="1418" spans="1:8" x14ac:dyDescent="0.3">
      <c r="A1418">
        <v>1417</v>
      </c>
      <c r="B1418" s="1">
        <v>46127</v>
      </c>
      <c r="C1418" s="2">
        <v>0.91874999999999996</v>
      </c>
      <c r="D1418" t="s">
        <v>8</v>
      </c>
      <c r="E1418" t="s">
        <v>9</v>
      </c>
      <c r="F1418">
        <v>1000</v>
      </c>
      <c r="G1418" t="s">
        <v>68</v>
      </c>
      <c r="H1418" t="s">
        <v>333</v>
      </c>
    </row>
    <row r="1419" spans="1:8" x14ac:dyDescent="0.3">
      <c r="A1419">
        <v>1418</v>
      </c>
      <c r="B1419" s="1">
        <v>46128</v>
      </c>
      <c r="C1419" s="2">
        <v>0.4284722222222222</v>
      </c>
      <c r="D1419" t="s">
        <v>22</v>
      </c>
      <c r="E1419" t="s">
        <v>23</v>
      </c>
      <c r="F1419">
        <v>6000</v>
      </c>
      <c r="G1419" t="s">
        <v>59</v>
      </c>
      <c r="H1419" t="s">
        <v>333</v>
      </c>
    </row>
    <row r="1420" spans="1:8" x14ac:dyDescent="0.3">
      <c r="A1420">
        <v>1419</v>
      </c>
      <c r="B1420" s="1">
        <v>46128</v>
      </c>
      <c r="C1420" s="2">
        <v>0.73333333333333328</v>
      </c>
      <c r="D1420" t="s">
        <v>14</v>
      </c>
      <c r="E1420" t="s">
        <v>9</v>
      </c>
      <c r="F1420">
        <v>26</v>
      </c>
      <c r="G1420" t="s">
        <v>36</v>
      </c>
      <c r="H1420" t="s">
        <v>333</v>
      </c>
    </row>
    <row r="1421" spans="1:8" x14ac:dyDescent="0.3">
      <c r="A1421">
        <v>1420</v>
      </c>
      <c r="B1421" s="1">
        <v>46128</v>
      </c>
      <c r="C1421" s="2">
        <v>0.81388888888888888</v>
      </c>
      <c r="D1421" t="s">
        <v>8</v>
      </c>
      <c r="E1421" t="s">
        <v>9</v>
      </c>
      <c r="F1421">
        <v>6000</v>
      </c>
      <c r="G1421" t="s">
        <v>68</v>
      </c>
      <c r="H1421" t="s">
        <v>333</v>
      </c>
    </row>
    <row r="1422" spans="1:8" x14ac:dyDescent="0.3">
      <c r="A1422">
        <v>1421</v>
      </c>
      <c r="B1422" s="1">
        <v>46129</v>
      </c>
      <c r="C1422" s="2">
        <v>0.36388888888888887</v>
      </c>
      <c r="D1422" t="s">
        <v>8</v>
      </c>
      <c r="E1422" t="s">
        <v>9</v>
      </c>
      <c r="F1422">
        <v>8600</v>
      </c>
      <c r="G1422" t="s">
        <v>68</v>
      </c>
      <c r="H1422" t="s">
        <v>333</v>
      </c>
    </row>
    <row r="1423" spans="1:8" x14ac:dyDescent="0.3">
      <c r="A1423">
        <v>1422</v>
      </c>
      <c r="B1423" s="1">
        <v>46129</v>
      </c>
      <c r="C1423" s="2">
        <v>0.86805555555555558</v>
      </c>
      <c r="D1423" t="s">
        <v>8</v>
      </c>
      <c r="E1423" t="s">
        <v>9</v>
      </c>
      <c r="F1423">
        <v>1000</v>
      </c>
      <c r="G1423" t="s">
        <v>74</v>
      </c>
      <c r="H1423" t="s">
        <v>333</v>
      </c>
    </row>
    <row r="1424" spans="1:8" x14ac:dyDescent="0.3">
      <c r="A1424">
        <v>1423</v>
      </c>
      <c r="B1424" s="1">
        <v>46129</v>
      </c>
      <c r="C1424" s="2">
        <v>0.86875000000000002</v>
      </c>
      <c r="D1424" t="s">
        <v>8</v>
      </c>
      <c r="E1424" t="s">
        <v>9</v>
      </c>
      <c r="F1424">
        <v>55</v>
      </c>
      <c r="G1424" t="s">
        <v>225</v>
      </c>
      <c r="H1424" t="s">
        <v>333</v>
      </c>
    </row>
    <row r="1425" spans="1:8" x14ac:dyDescent="0.3">
      <c r="A1425">
        <v>1424</v>
      </c>
      <c r="B1425" s="1">
        <v>46130</v>
      </c>
      <c r="C1425" s="2">
        <v>0.78680555555555554</v>
      </c>
      <c r="D1425" t="s">
        <v>8</v>
      </c>
      <c r="E1425" t="s">
        <v>9</v>
      </c>
      <c r="F1425">
        <v>50</v>
      </c>
      <c r="G1425" t="s">
        <v>366</v>
      </c>
      <c r="H1425" t="s">
        <v>333</v>
      </c>
    </row>
    <row r="1426" spans="1:8" x14ac:dyDescent="0.3">
      <c r="A1426">
        <v>1425</v>
      </c>
      <c r="B1426" s="1">
        <v>46130</v>
      </c>
      <c r="C1426" s="2">
        <v>0.79236111111111107</v>
      </c>
      <c r="D1426" t="s">
        <v>22</v>
      </c>
      <c r="E1426" t="s">
        <v>23</v>
      </c>
      <c r="F1426">
        <v>120</v>
      </c>
      <c r="G1426" t="s">
        <v>59</v>
      </c>
      <c r="H1426" t="s">
        <v>333</v>
      </c>
    </row>
    <row r="1427" spans="1:8" x14ac:dyDescent="0.3">
      <c r="A1427">
        <v>1426</v>
      </c>
      <c r="B1427" s="1">
        <v>46130</v>
      </c>
      <c r="C1427" s="2">
        <v>0.95763888888888893</v>
      </c>
      <c r="D1427" t="s">
        <v>8</v>
      </c>
      <c r="E1427" t="s">
        <v>9</v>
      </c>
      <c r="F1427">
        <v>100</v>
      </c>
      <c r="G1427" t="s">
        <v>367</v>
      </c>
      <c r="H1427" t="s">
        <v>333</v>
      </c>
    </row>
    <row r="1428" spans="1:8" x14ac:dyDescent="0.3">
      <c r="A1428">
        <v>1427</v>
      </c>
      <c r="B1428" s="1">
        <v>46131</v>
      </c>
      <c r="C1428" s="2">
        <v>0.77777777777777779</v>
      </c>
      <c r="D1428" t="s">
        <v>8</v>
      </c>
      <c r="E1428" t="s">
        <v>9</v>
      </c>
      <c r="F1428">
        <v>1000</v>
      </c>
      <c r="G1428" t="s">
        <v>20</v>
      </c>
      <c r="H1428" t="s">
        <v>333</v>
      </c>
    </row>
    <row r="1429" spans="1:8" x14ac:dyDescent="0.3">
      <c r="A1429">
        <v>1428</v>
      </c>
      <c r="B1429" s="1">
        <v>46131</v>
      </c>
      <c r="C1429" s="2">
        <v>0.84305555555555556</v>
      </c>
      <c r="D1429" t="s">
        <v>22</v>
      </c>
      <c r="E1429" t="s">
        <v>23</v>
      </c>
      <c r="F1429">
        <v>6000</v>
      </c>
      <c r="G1429" t="s">
        <v>59</v>
      </c>
      <c r="H1429" t="s">
        <v>333</v>
      </c>
    </row>
    <row r="1430" spans="1:8" x14ac:dyDescent="0.3">
      <c r="A1430">
        <v>1429</v>
      </c>
      <c r="B1430" s="1">
        <v>46132</v>
      </c>
      <c r="C1430" s="2">
        <v>0.47291666666666665</v>
      </c>
      <c r="D1430" t="s">
        <v>8</v>
      </c>
      <c r="E1430" t="s">
        <v>9</v>
      </c>
      <c r="F1430">
        <v>100</v>
      </c>
      <c r="G1430" t="s">
        <v>225</v>
      </c>
      <c r="H1430" t="s">
        <v>333</v>
      </c>
    </row>
    <row r="1431" spans="1:8" x14ac:dyDescent="0.3">
      <c r="A1431">
        <v>1430</v>
      </c>
      <c r="B1431" s="1">
        <v>46132</v>
      </c>
      <c r="C1431" s="2">
        <v>0.59444444444444444</v>
      </c>
      <c r="D1431" t="s">
        <v>22</v>
      </c>
      <c r="E1431" t="s">
        <v>23</v>
      </c>
      <c r="F1431">
        <v>5000</v>
      </c>
      <c r="G1431" t="s">
        <v>368</v>
      </c>
      <c r="H1431" t="s">
        <v>333</v>
      </c>
    </row>
    <row r="1432" spans="1:8" x14ac:dyDescent="0.3">
      <c r="A1432">
        <v>1431</v>
      </c>
      <c r="B1432" s="1">
        <v>46132</v>
      </c>
      <c r="C1432" s="2">
        <v>0.63402777777777775</v>
      </c>
      <c r="D1432" t="s">
        <v>8</v>
      </c>
      <c r="E1432" t="s">
        <v>9</v>
      </c>
      <c r="F1432">
        <v>2640</v>
      </c>
      <c r="G1432" t="s">
        <v>369</v>
      </c>
      <c r="H1432" t="s">
        <v>333</v>
      </c>
    </row>
    <row r="1433" spans="1:8" x14ac:dyDescent="0.3">
      <c r="A1433">
        <v>1432</v>
      </c>
      <c r="B1433" s="1">
        <v>46133</v>
      </c>
      <c r="C1433" s="2">
        <v>0.39861111111111114</v>
      </c>
      <c r="D1433" t="s">
        <v>8</v>
      </c>
      <c r="E1433" t="s">
        <v>9</v>
      </c>
      <c r="F1433">
        <v>2000</v>
      </c>
      <c r="G1433" t="s">
        <v>192</v>
      </c>
      <c r="H1433" t="s">
        <v>333</v>
      </c>
    </row>
    <row r="1434" spans="1:8" x14ac:dyDescent="0.3">
      <c r="A1434">
        <v>1433</v>
      </c>
      <c r="B1434" s="1">
        <v>46134</v>
      </c>
      <c r="C1434" s="2">
        <v>0.39930555555555558</v>
      </c>
      <c r="D1434" t="s">
        <v>8</v>
      </c>
      <c r="E1434" t="s">
        <v>9</v>
      </c>
      <c r="F1434">
        <v>5000</v>
      </c>
      <c r="G1434" t="s">
        <v>68</v>
      </c>
      <c r="H1434" t="s">
        <v>333</v>
      </c>
    </row>
    <row r="1435" spans="1:8" x14ac:dyDescent="0.3">
      <c r="A1435">
        <v>1434</v>
      </c>
      <c r="B1435" s="1">
        <v>46134</v>
      </c>
      <c r="C1435" s="2">
        <v>0.45902777777777776</v>
      </c>
      <c r="D1435" t="s">
        <v>8</v>
      </c>
      <c r="E1435" t="s">
        <v>9</v>
      </c>
      <c r="F1435">
        <v>1000</v>
      </c>
      <c r="G1435" t="s">
        <v>370</v>
      </c>
      <c r="H1435" t="s">
        <v>333</v>
      </c>
    </row>
    <row r="1436" spans="1:8" x14ac:dyDescent="0.3">
      <c r="A1436">
        <v>1435</v>
      </c>
      <c r="B1436" s="1">
        <v>46134</v>
      </c>
      <c r="C1436" s="2">
        <v>0.46111111111111114</v>
      </c>
      <c r="D1436" t="s">
        <v>22</v>
      </c>
      <c r="E1436" t="s">
        <v>23</v>
      </c>
      <c r="F1436">
        <v>5000</v>
      </c>
      <c r="G1436" t="s">
        <v>59</v>
      </c>
      <c r="H1436" t="s">
        <v>333</v>
      </c>
    </row>
    <row r="1437" spans="1:8" x14ac:dyDescent="0.3">
      <c r="A1437">
        <v>1436</v>
      </c>
      <c r="B1437" s="1">
        <v>46134</v>
      </c>
      <c r="C1437" s="2">
        <v>0.46250000000000002</v>
      </c>
      <c r="D1437" t="s">
        <v>22</v>
      </c>
      <c r="E1437" t="s">
        <v>23</v>
      </c>
      <c r="F1437">
        <v>1000</v>
      </c>
      <c r="G1437" t="s">
        <v>370</v>
      </c>
      <c r="H1437" t="s">
        <v>333</v>
      </c>
    </row>
    <row r="1438" spans="1:8" x14ac:dyDescent="0.3">
      <c r="A1438">
        <v>1437</v>
      </c>
      <c r="B1438" s="1">
        <v>46134</v>
      </c>
      <c r="C1438" s="2">
        <v>0.46388888888888891</v>
      </c>
      <c r="D1438" t="s">
        <v>8</v>
      </c>
      <c r="E1438" t="s">
        <v>9</v>
      </c>
      <c r="F1438">
        <v>6370</v>
      </c>
      <c r="G1438" t="s">
        <v>203</v>
      </c>
      <c r="H1438" t="s">
        <v>333</v>
      </c>
    </row>
    <row r="1439" spans="1:8" x14ac:dyDescent="0.3">
      <c r="A1439">
        <v>1438</v>
      </c>
      <c r="B1439" s="1">
        <v>46135</v>
      </c>
      <c r="C1439" s="2">
        <v>0.4861111111111111</v>
      </c>
      <c r="D1439" t="s">
        <v>18</v>
      </c>
      <c r="E1439" t="s">
        <v>9</v>
      </c>
      <c r="F1439">
        <v>6284</v>
      </c>
      <c r="G1439" t="s">
        <v>19</v>
      </c>
      <c r="H1439" t="s">
        <v>333</v>
      </c>
    </row>
    <row r="1440" spans="1:8" x14ac:dyDescent="0.3">
      <c r="A1440">
        <v>1439</v>
      </c>
      <c r="B1440" s="1">
        <v>46135</v>
      </c>
      <c r="C1440" s="2">
        <v>0.5444444444444444</v>
      </c>
      <c r="D1440" t="s">
        <v>8</v>
      </c>
      <c r="E1440" t="s">
        <v>9</v>
      </c>
      <c r="F1440">
        <v>100</v>
      </c>
      <c r="G1440" t="s">
        <v>20</v>
      </c>
      <c r="H1440" t="s">
        <v>333</v>
      </c>
    </row>
    <row r="1441" spans="1:8" x14ac:dyDescent="0.3">
      <c r="A1441">
        <v>1440</v>
      </c>
      <c r="B1441" s="1">
        <v>46135</v>
      </c>
      <c r="C1441" s="2">
        <v>0.54513888888888884</v>
      </c>
      <c r="D1441" t="s">
        <v>8</v>
      </c>
      <c r="E1441" t="s">
        <v>9</v>
      </c>
      <c r="F1441">
        <v>300</v>
      </c>
      <c r="G1441" t="s">
        <v>371</v>
      </c>
      <c r="H1441" t="s">
        <v>333</v>
      </c>
    </row>
    <row r="1442" spans="1:8" x14ac:dyDescent="0.3">
      <c r="A1442">
        <v>1441</v>
      </c>
      <c r="B1442" s="1">
        <v>46135</v>
      </c>
      <c r="C1442" s="2">
        <v>0.64097222222222228</v>
      </c>
      <c r="D1442" t="s">
        <v>22</v>
      </c>
      <c r="E1442" t="s">
        <v>23</v>
      </c>
      <c r="F1442">
        <v>500</v>
      </c>
      <c r="G1442" t="s">
        <v>59</v>
      </c>
      <c r="H1442" t="s">
        <v>333</v>
      </c>
    </row>
    <row r="1443" spans="1:8" x14ac:dyDescent="0.3">
      <c r="A1443">
        <v>1442</v>
      </c>
      <c r="B1443" s="1">
        <v>46135</v>
      </c>
      <c r="C1443" s="2">
        <v>0.92500000000000004</v>
      </c>
      <c r="D1443" t="s">
        <v>8</v>
      </c>
      <c r="E1443" t="s">
        <v>9</v>
      </c>
      <c r="F1443">
        <v>500</v>
      </c>
      <c r="G1443" t="s">
        <v>35</v>
      </c>
      <c r="H1443" t="s">
        <v>333</v>
      </c>
    </row>
    <row r="1444" spans="1:8" x14ac:dyDescent="0.3">
      <c r="A1444">
        <v>1443</v>
      </c>
      <c r="B1444" s="1">
        <v>46137</v>
      </c>
      <c r="C1444" s="2">
        <v>0.70277777777777772</v>
      </c>
      <c r="D1444" t="s">
        <v>22</v>
      </c>
      <c r="E1444" t="s">
        <v>23</v>
      </c>
      <c r="F1444">
        <v>7500</v>
      </c>
      <c r="G1444" t="s">
        <v>35</v>
      </c>
      <c r="H1444" t="s">
        <v>333</v>
      </c>
    </row>
    <row r="1445" spans="1:8" x14ac:dyDescent="0.3">
      <c r="A1445">
        <v>1444</v>
      </c>
      <c r="B1445" s="1">
        <v>46137</v>
      </c>
      <c r="C1445" s="2">
        <v>0.75208333333333333</v>
      </c>
      <c r="D1445" t="s">
        <v>8</v>
      </c>
      <c r="E1445" t="s">
        <v>9</v>
      </c>
      <c r="F1445">
        <v>2000</v>
      </c>
      <c r="G1445" t="s">
        <v>35</v>
      </c>
      <c r="H1445" t="s">
        <v>333</v>
      </c>
    </row>
    <row r="1446" spans="1:8" x14ac:dyDescent="0.3">
      <c r="A1446">
        <v>1445</v>
      </c>
      <c r="B1446" s="1">
        <v>46137</v>
      </c>
      <c r="C1446" s="2">
        <v>0.87986111111111109</v>
      </c>
      <c r="D1446" t="s">
        <v>8</v>
      </c>
      <c r="E1446" t="s">
        <v>9</v>
      </c>
      <c r="F1446">
        <v>500</v>
      </c>
      <c r="G1446" t="s">
        <v>68</v>
      </c>
      <c r="H1446" t="s">
        <v>333</v>
      </c>
    </row>
    <row r="1447" spans="1:8" x14ac:dyDescent="0.3">
      <c r="A1447">
        <v>1446</v>
      </c>
      <c r="B1447" s="1">
        <v>46138</v>
      </c>
      <c r="C1447" s="2">
        <v>0.30694444444444446</v>
      </c>
      <c r="D1447" t="s">
        <v>8</v>
      </c>
      <c r="E1447" t="s">
        <v>9</v>
      </c>
      <c r="F1447">
        <v>283</v>
      </c>
      <c r="G1447" t="s">
        <v>68</v>
      </c>
      <c r="H1447" t="s">
        <v>333</v>
      </c>
    </row>
    <row r="1448" spans="1:8" x14ac:dyDescent="0.3">
      <c r="A1448">
        <v>1447</v>
      </c>
      <c r="B1448" s="1">
        <v>46138</v>
      </c>
      <c r="C1448" s="2">
        <v>0.75624999999999998</v>
      </c>
      <c r="D1448" t="s">
        <v>22</v>
      </c>
      <c r="E1448" t="s">
        <v>23</v>
      </c>
      <c r="F1448">
        <v>4000</v>
      </c>
      <c r="G1448" t="s">
        <v>59</v>
      </c>
      <c r="H1448" t="s">
        <v>333</v>
      </c>
    </row>
    <row r="1449" spans="1:8" x14ac:dyDescent="0.3">
      <c r="A1449">
        <v>1448</v>
      </c>
      <c r="B1449" s="1">
        <v>46138</v>
      </c>
      <c r="C1449" s="2">
        <v>0.7583333333333333</v>
      </c>
      <c r="D1449" t="s">
        <v>8</v>
      </c>
      <c r="E1449" t="s">
        <v>9</v>
      </c>
      <c r="F1449">
        <v>4000</v>
      </c>
      <c r="G1449" t="s">
        <v>185</v>
      </c>
      <c r="H1449" t="s">
        <v>333</v>
      </c>
    </row>
    <row r="1450" spans="1:8" x14ac:dyDescent="0.3">
      <c r="A1450">
        <v>1449</v>
      </c>
      <c r="B1450" s="1">
        <v>46138</v>
      </c>
      <c r="C1450" s="2">
        <v>0.76527777777777772</v>
      </c>
      <c r="D1450" t="s">
        <v>22</v>
      </c>
      <c r="E1450" t="s">
        <v>23</v>
      </c>
      <c r="F1450">
        <v>199</v>
      </c>
      <c r="G1450" t="s">
        <v>12</v>
      </c>
      <c r="H1450" t="s">
        <v>333</v>
      </c>
    </row>
    <row r="1451" spans="1:8" x14ac:dyDescent="0.3">
      <c r="A1451">
        <v>1450</v>
      </c>
      <c r="B1451" s="1">
        <v>46138</v>
      </c>
      <c r="C1451" s="2">
        <v>0.76597222222222228</v>
      </c>
      <c r="D1451" t="s">
        <v>8</v>
      </c>
      <c r="E1451" t="s">
        <v>9</v>
      </c>
      <c r="F1451">
        <v>199</v>
      </c>
      <c r="G1451" t="s">
        <v>337</v>
      </c>
      <c r="H1451" t="s">
        <v>333</v>
      </c>
    </row>
    <row r="1452" spans="1:8" x14ac:dyDescent="0.3">
      <c r="A1452">
        <v>1451</v>
      </c>
      <c r="B1452" s="1">
        <v>46139</v>
      </c>
      <c r="C1452" s="2">
        <v>0.42499999999999999</v>
      </c>
      <c r="D1452" t="s">
        <v>8</v>
      </c>
      <c r="E1452" t="s">
        <v>9</v>
      </c>
      <c r="F1452">
        <v>9000</v>
      </c>
      <c r="G1452" t="s">
        <v>68</v>
      </c>
      <c r="H1452" t="s">
        <v>333</v>
      </c>
    </row>
    <row r="1453" spans="1:8" x14ac:dyDescent="0.3">
      <c r="A1453">
        <v>1452</v>
      </c>
      <c r="B1453" s="1">
        <v>46139</v>
      </c>
      <c r="C1453" s="2">
        <v>0.77569444444444446</v>
      </c>
      <c r="D1453" t="s">
        <v>8</v>
      </c>
      <c r="E1453" t="s">
        <v>9</v>
      </c>
      <c r="F1453">
        <v>15</v>
      </c>
      <c r="G1453" t="s">
        <v>187</v>
      </c>
      <c r="H1453" t="s">
        <v>333</v>
      </c>
    </row>
    <row r="1454" spans="1:8" x14ac:dyDescent="0.3">
      <c r="A1454">
        <v>1453</v>
      </c>
      <c r="B1454" s="1">
        <v>46139</v>
      </c>
      <c r="C1454" s="2">
        <v>0.79166666666666663</v>
      </c>
      <c r="D1454" t="s">
        <v>8</v>
      </c>
      <c r="E1454" t="s">
        <v>9</v>
      </c>
      <c r="F1454">
        <v>1500</v>
      </c>
      <c r="G1454" t="s">
        <v>203</v>
      </c>
      <c r="H1454" t="s">
        <v>333</v>
      </c>
    </row>
    <row r="1455" spans="1:8" x14ac:dyDescent="0.3">
      <c r="A1455">
        <v>1454</v>
      </c>
      <c r="B1455" s="1">
        <v>46139</v>
      </c>
      <c r="C1455" s="2">
        <v>0.84513888888888888</v>
      </c>
      <c r="D1455" t="s">
        <v>22</v>
      </c>
      <c r="E1455" t="s">
        <v>23</v>
      </c>
      <c r="F1455">
        <v>500</v>
      </c>
      <c r="G1455" t="s">
        <v>59</v>
      </c>
      <c r="H1455" t="s">
        <v>333</v>
      </c>
    </row>
    <row r="1456" spans="1:8" x14ac:dyDescent="0.3">
      <c r="A1456">
        <v>1455</v>
      </c>
      <c r="B1456" s="1">
        <v>46140</v>
      </c>
      <c r="C1456" s="2">
        <v>0.50347222222222221</v>
      </c>
      <c r="D1456" t="s">
        <v>22</v>
      </c>
      <c r="E1456" t="s">
        <v>23</v>
      </c>
      <c r="F1456">
        <v>1200</v>
      </c>
      <c r="G1456" t="s">
        <v>59</v>
      </c>
      <c r="H1456" t="s">
        <v>333</v>
      </c>
    </row>
    <row r="1457" spans="1:8" x14ac:dyDescent="0.3">
      <c r="A1457">
        <v>1456</v>
      </c>
      <c r="B1457" s="1">
        <v>46140</v>
      </c>
      <c r="C1457" s="2">
        <v>0.55972222222222223</v>
      </c>
      <c r="D1457" t="s">
        <v>18</v>
      </c>
      <c r="E1457" t="s">
        <v>9</v>
      </c>
      <c r="F1457">
        <v>1680</v>
      </c>
      <c r="G1457" t="s">
        <v>19</v>
      </c>
      <c r="H1457" t="s">
        <v>333</v>
      </c>
    </row>
    <row r="1458" spans="1:8" x14ac:dyDescent="0.3">
      <c r="A1458">
        <v>1457</v>
      </c>
      <c r="B1458" s="1">
        <v>46140</v>
      </c>
      <c r="C1458" s="2">
        <v>0.5625</v>
      </c>
      <c r="D1458" t="s">
        <v>22</v>
      </c>
      <c r="E1458" t="s">
        <v>23</v>
      </c>
      <c r="F1458">
        <v>1680</v>
      </c>
      <c r="G1458" t="s">
        <v>13</v>
      </c>
      <c r="H1458" t="s">
        <v>333</v>
      </c>
    </row>
    <row r="1459" spans="1:8" x14ac:dyDescent="0.3">
      <c r="A1459">
        <v>1458</v>
      </c>
      <c r="B1459" s="1">
        <v>46140</v>
      </c>
      <c r="C1459" s="2">
        <v>0.5625</v>
      </c>
      <c r="D1459" t="s">
        <v>18</v>
      </c>
      <c r="E1459" t="s">
        <v>9</v>
      </c>
      <c r="F1459">
        <v>1680</v>
      </c>
      <c r="G1459" t="s">
        <v>19</v>
      </c>
      <c r="H1459" t="s">
        <v>333</v>
      </c>
    </row>
    <row r="1460" spans="1:8" x14ac:dyDescent="0.3">
      <c r="A1460">
        <v>1459</v>
      </c>
      <c r="B1460" s="1">
        <v>46140</v>
      </c>
      <c r="C1460" s="2">
        <v>0.56666666666666665</v>
      </c>
      <c r="D1460" t="s">
        <v>8</v>
      </c>
      <c r="E1460" t="s">
        <v>9</v>
      </c>
      <c r="F1460">
        <v>8</v>
      </c>
      <c r="G1460" t="s">
        <v>372</v>
      </c>
      <c r="H1460" t="s">
        <v>333</v>
      </c>
    </row>
    <row r="1461" spans="1:8" x14ac:dyDescent="0.3">
      <c r="A1461">
        <v>1460</v>
      </c>
      <c r="B1461" s="1">
        <v>46141</v>
      </c>
      <c r="C1461" s="2">
        <v>0.47083333333333333</v>
      </c>
      <c r="D1461" t="s">
        <v>8</v>
      </c>
      <c r="E1461" t="s">
        <v>9</v>
      </c>
      <c r="F1461">
        <v>100</v>
      </c>
      <c r="G1461" t="s">
        <v>296</v>
      </c>
      <c r="H1461" t="s">
        <v>333</v>
      </c>
    </row>
    <row r="1462" spans="1:8" x14ac:dyDescent="0.3">
      <c r="A1462">
        <v>1461</v>
      </c>
      <c r="B1462" s="1">
        <v>46141</v>
      </c>
      <c r="C1462" s="2">
        <v>0.52569444444444446</v>
      </c>
      <c r="D1462" t="s">
        <v>8</v>
      </c>
      <c r="E1462" t="s">
        <v>9</v>
      </c>
      <c r="F1462">
        <v>10</v>
      </c>
      <c r="G1462" t="s">
        <v>175</v>
      </c>
      <c r="H1462" t="s">
        <v>333</v>
      </c>
    </row>
    <row r="1463" spans="1:8" x14ac:dyDescent="0.3">
      <c r="A1463">
        <v>1462</v>
      </c>
      <c r="B1463" s="1">
        <v>46142</v>
      </c>
      <c r="C1463" s="2">
        <v>0.46666666666666667</v>
      </c>
      <c r="D1463" t="s">
        <v>8</v>
      </c>
      <c r="E1463" t="s">
        <v>9</v>
      </c>
      <c r="F1463">
        <v>4000</v>
      </c>
      <c r="G1463" t="s">
        <v>74</v>
      </c>
      <c r="H1463" t="s">
        <v>333</v>
      </c>
    </row>
    <row r="1464" spans="1:8" x14ac:dyDescent="0.3">
      <c r="A1464">
        <v>1463</v>
      </c>
      <c r="B1464" s="1">
        <v>46142</v>
      </c>
      <c r="C1464" s="2">
        <v>0.46666666666666667</v>
      </c>
      <c r="D1464" t="s">
        <v>8</v>
      </c>
      <c r="E1464" t="s">
        <v>9</v>
      </c>
      <c r="F1464">
        <v>1500</v>
      </c>
      <c r="G1464" t="s">
        <v>74</v>
      </c>
      <c r="H1464" t="s">
        <v>333</v>
      </c>
    </row>
    <row r="1465" spans="1:8" x14ac:dyDescent="0.3">
      <c r="A1465">
        <v>1464</v>
      </c>
      <c r="B1465" s="1">
        <v>46142</v>
      </c>
      <c r="C1465" s="2">
        <v>0.47430555555555554</v>
      </c>
      <c r="D1465" t="s">
        <v>22</v>
      </c>
      <c r="E1465" t="s">
        <v>23</v>
      </c>
      <c r="F1465">
        <v>500</v>
      </c>
      <c r="G1465" t="s">
        <v>59</v>
      </c>
      <c r="H1465" t="s">
        <v>333</v>
      </c>
    </row>
    <row r="1466" spans="1:8" x14ac:dyDescent="0.3">
      <c r="A1466">
        <v>1465</v>
      </c>
      <c r="B1466" s="1">
        <v>46142</v>
      </c>
      <c r="C1466" s="2">
        <v>0.47499999999999998</v>
      </c>
      <c r="D1466" t="s">
        <v>8</v>
      </c>
      <c r="E1466" t="s">
        <v>9</v>
      </c>
      <c r="F1466">
        <v>500</v>
      </c>
      <c r="G1466" t="s">
        <v>74</v>
      </c>
      <c r="H1466" t="s">
        <v>333</v>
      </c>
    </row>
    <row r="1467" spans="1:8" x14ac:dyDescent="0.3">
      <c r="A1467">
        <v>1466</v>
      </c>
      <c r="B1467" s="1">
        <v>46142</v>
      </c>
      <c r="C1467" s="2">
        <v>0.47638888888888886</v>
      </c>
      <c r="D1467" t="s">
        <v>22</v>
      </c>
      <c r="E1467" t="s">
        <v>23</v>
      </c>
      <c r="F1467">
        <v>500</v>
      </c>
      <c r="G1467" t="s">
        <v>282</v>
      </c>
      <c r="H1467" t="s">
        <v>333</v>
      </c>
    </row>
    <row r="1468" spans="1:8" x14ac:dyDescent="0.3">
      <c r="A1468">
        <v>1467</v>
      </c>
      <c r="B1468" s="1">
        <v>46142</v>
      </c>
      <c r="C1468" s="2">
        <v>0.53402777777777777</v>
      </c>
      <c r="D1468" t="s">
        <v>22</v>
      </c>
      <c r="E1468" t="s">
        <v>23</v>
      </c>
      <c r="F1468">
        <v>2000</v>
      </c>
      <c r="G1468" t="s">
        <v>373</v>
      </c>
      <c r="H1468" t="s">
        <v>333</v>
      </c>
    </row>
    <row r="1469" spans="1:8" x14ac:dyDescent="0.3">
      <c r="A1469">
        <v>1468</v>
      </c>
      <c r="B1469" s="1">
        <v>46142</v>
      </c>
      <c r="C1469" s="2">
        <v>0.53611111111111109</v>
      </c>
      <c r="D1469" t="s">
        <v>8</v>
      </c>
      <c r="E1469" t="s">
        <v>9</v>
      </c>
      <c r="F1469">
        <v>2000</v>
      </c>
      <c r="G1469" t="s">
        <v>185</v>
      </c>
      <c r="H1469" t="s">
        <v>333</v>
      </c>
    </row>
    <row r="1470" spans="1:8" x14ac:dyDescent="0.3">
      <c r="A1470">
        <v>1469</v>
      </c>
      <c r="B1470" s="1">
        <v>46142</v>
      </c>
      <c r="C1470" s="2">
        <v>0.79513888888888884</v>
      </c>
      <c r="D1470" t="s">
        <v>8</v>
      </c>
      <c r="E1470" t="s">
        <v>9</v>
      </c>
      <c r="F1470">
        <v>500</v>
      </c>
      <c r="G1470" t="s">
        <v>282</v>
      </c>
      <c r="H1470" t="s">
        <v>333</v>
      </c>
    </row>
    <row r="1471" spans="1:8" x14ac:dyDescent="0.3">
      <c r="A1471">
        <v>1470</v>
      </c>
      <c r="B1471" s="1">
        <v>46142</v>
      </c>
      <c r="C1471" s="2">
        <v>0.8</v>
      </c>
      <c r="D1471" t="s">
        <v>22</v>
      </c>
      <c r="E1471" t="s">
        <v>23</v>
      </c>
      <c r="F1471">
        <v>2000</v>
      </c>
      <c r="G1471" t="s">
        <v>59</v>
      </c>
      <c r="H1471" t="s">
        <v>333</v>
      </c>
    </row>
    <row r="1472" spans="1:8" x14ac:dyDescent="0.3">
      <c r="A1472">
        <v>1471</v>
      </c>
      <c r="B1472" s="1">
        <v>46142</v>
      </c>
      <c r="C1472" s="2">
        <v>0.81527777777777777</v>
      </c>
      <c r="D1472" t="s">
        <v>22</v>
      </c>
      <c r="E1472" t="s">
        <v>23</v>
      </c>
      <c r="F1472">
        <v>100</v>
      </c>
      <c r="G1472" t="s">
        <v>296</v>
      </c>
      <c r="H1472" t="s">
        <v>333</v>
      </c>
    </row>
    <row r="1473" spans="1:8" x14ac:dyDescent="0.3">
      <c r="A1473">
        <v>1472</v>
      </c>
      <c r="B1473" s="1">
        <v>46142</v>
      </c>
      <c r="C1473" s="2">
        <v>0.84791666666666665</v>
      </c>
      <c r="D1473" t="s">
        <v>14</v>
      </c>
      <c r="E1473" t="s">
        <v>9</v>
      </c>
      <c r="F1473">
        <v>33</v>
      </c>
      <c r="G1473" t="s">
        <v>36</v>
      </c>
      <c r="H1473" t="s">
        <v>333</v>
      </c>
    </row>
    <row r="1474" spans="1:8" x14ac:dyDescent="0.3">
      <c r="A1474">
        <v>1473</v>
      </c>
      <c r="B1474" s="1">
        <v>46143</v>
      </c>
      <c r="C1474" s="2">
        <v>0.48194444444444445</v>
      </c>
      <c r="D1474" t="s">
        <v>8</v>
      </c>
      <c r="E1474" t="s">
        <v>9</v>
      </c>
      <c r="F1474">
        <v>300</v>
      </c>
      <c r="G1474" t="s">
        <v>276</v>
      </c>
      <c r="H1474" t="s">
        <v>374</v>
      </c>
    </row>
    <row r="1475" spans="1:8" x14ac:dyDescent="0.3">
      <c r="A1475">
        <v>1474</v>
      </c>
      <c r="B1475" s="1">
        <v>46143</v>
      </c>
      <c r="C1475" s="2">
        <v>0.48472222222222222</v>
      </c>
      <c r="D1475" t="s">
        <v>8</v>
      </c>
      <c r="E1475" t="s">
        <v>9</v>
      </c>
      <c r="F1475">
        <v>118</v>
      </c>
      <c r="G1475" t="s">
        <v>337</v>
      </c>
      <c r="H1475" t="s">
        <v>374</v>
      </c>
    </row>
    <row r="1476" spans="1:8" x14ac:dyDescent="0.3">
      <c r="A1476">
        <v>1475</v>
      </c>
      <c r="B1476" s="1">
        <v>46143</v>
      </c>
      <c r="C1476" s="2">
        <v>0.55625000000000002</v>
      </c>
      <c r="D1476" t="s">
        <v>22</v>
      </c>
      <c r="E1476" t="s">
        <v>23</v>
      </c>
      <c r="F1476">
        <v>300</v>
      </c>
      <c r="G1476" t="s">
        <v>375</v>
      </c>
      <c r="H1476" t="s">
        <v>374</v>
      </c>
    </row>
    <row r="1477" spans="1:8" x14ac:dyDescent="0.3">
      <c r="A1477">
        <v>1476</v>
      </c>
      <c r="B1477" s="1">
        <v>46143</v>
      </c>
      <c r="C1477" s="2">
        <v>0.87847222222222221</v>
      </c>
      <c r="D1477" t="s">
        <v>22</v>
      </c>
      <c r="E1477" t="s">
        <v>23</v>
      </c>
      <c r="F1477">
        <v>150</v>
      </c>
      <c r="G1477" t="s">
        <v>74</v>
      </c>
      <c r="H1477" t="s">
        <v>374</v>
      </c>
    </row>
    <row r="1478" spans="1:8" x14ac:dyDescent="0.3">
      <c r="A1478">
        <v>1477</v>
      </c>
      <c r="B1478" s="1">
        <v>46143</v>
      </c>
      <c r="C1478" s="2">
        <v>0.94374999999999998</v>
      </c>
      <c r="D1478" t="s">
        <v>8</v>
      </c>
      <c r="E1478" t="s">
        <v>9</v>
      </c>
      <c r="F1478">
        <v>1600</v>
      </c>
      <c r="G1478" t="s">
        <v>376</v>
      </c>
      <c r="H1478" t="s">
        <v>374</v>
      </c>
    </row>
    <row r="1479" spans="1:8" x14ac:dyDescent="0.3">
      <c r="A1479">
        <v>1478</v>
      </c>
      <c r="B1479" s="1">
        <v>46144</v>
      </c>
      <c r="C1479" s="2">
        <v>0.39583333333333331</v>
      </c>
      <c r="D1479" t="s">
        <v>22</v>
      </c>
      <c r="E1479" t="s">
        <v>23</v>
      </c>
      <c r="F1479">
        <v>2000</v>
      </c>
      <c r="G1479" t="s">
        <v>59</v>
      </c>
      <c r="H1479" t="s">
        <v>374</v>
      </c>
    </row>
    <row r="1480" spans="1:8" x14ac:dyDescent="0.3">
      <c r="A1480">
        <v>1479</v>
      </c>
      <c r="B1480" s="1">
        <v>46144</v>
      </c>
      <c r="C1480" s="2">
        <v>0.52847222222222223</v>
      </c>
      <c r="D1480" t="s">
        <v>8</v>
      </c>
      <c r="E1480" t="s">
        <v>9</v>
      </c>
      <c r="F1480">
        <v>500</v>
      </c>
      <c r="G1480" t="s">
        <v>377</v>
      </c>
      <c r="H1480" t="s">
        <v>374</v>
      </c>
    </row>
    <row r="1481" spans="1:8" x14ac:dyDescent="0.3">
      <c r="A1481">
        <v>1480</v>
      </c>
      <c r="B1481" s="1">
        <v>46144</v>
      </c>
      <c r="C1481" s="2">
        <v>0.65555555555555556</v>
      </c>
      <c r="D1481" t="s">
        <v>8</v>
      </c>
      <c r="E1481" t="s">
        <v>9</v>
      </c>
      <c r="F1481">
        <v>106</v>
      </c>
      <c r="G1481" t="s">
        <v>337</v>
      </c>
      <c r="H1481" t="s">
        <v>374</v>
      </c>
    </row>
    <row r="1482" spans="1:8" x14ac:dyDescent="0.3">
      <c r="A1482">
        <v>1481</v>
      </c>
      <c r="B1482" s="1">
        <v>46145</v>
      </c>
      <c r="C1482" s="2">
        <v>0.44444444444444442</v>
      </c>
      <c r="D1482" t="s">
        <v>22</v>
      </c>
      <c r="E1482" t="s">
        <v>23</v>
      </c>
      <c r="F1482">
        <v>34</v>
      </c>
      <c r="G1482" t="s">
        <v>74</v>
      </c>
      <c r="H1482" t="s">
        <v>374</v>
      </c>
    </row>
    <row r="1483" spans="1:8" x14ac:dyDescent="0.3">
      <c r="A1483">
        <v>1482</v>
      </c>
      <c r="B1483" s="1">
        <v>46145</v>
      </c>
      <c r="C1483" s="2">
        <v>0.44513888888888886</v>
      </c>
      <c r="D1483" t="s">
        <v>8</v>
      </c>
      <c r="E1483" t="s">
        <v>9</v>
      </c>
      <c r="F1483">
        <v>2000</v>
      </c>
      <c r="G1483" t="s">
        <v>378</v>
      </c>
      <c r="H1483" t="s">
        <v>374</v>
      </c>
    </row>
    <row r="1484" spans="1:8" x14ac:dyDescent="0.3">
      <c r="A1484">
        <v>1483</v>
      </c>
      <c r="B1484" s="1">
        <v>46145</v>
      </c>
      <c r="C1484" s="2">
        <v>0.5229166666666667</v>
      </c>
      <c r="D1484" t="s">
        <v>22</v>
      </c>
      <c r="E1484" t="s">
        <v>23</v>
      </c>
      <c r="F1484">
        <v>4500</v>
      </c>
      <c r="G1484" t="s">
        <v>103</v>
      </c>
      <c r="H1484" t="s">
        <v>374</v>
      </c>
    </row>
    <row r="1485" spans="1:8" x14ac:dyDescent="0.3">
      <c r="A1485">
        <v>1484</v>
      </c>
      <c r="B1485" s="1">
        <v>46146</v>
      </c>
      <c r="C1485" s="2">
        <v>0.38472222222222224</v>
      </c>
      <c r="D1485" t="s">
        <v>22</v>
      </c>
      <c r="E1485" t="s">
        <v>23</v>
      </c>
      <c r="F1485">
        <v>5100</v>
      </c>
      <c r="G1485" t="s">
        <v>379</v>
      </c>
      <c r="H1485" t="s">
        <v>374</v>
      </c>
    </row>
    <row r="1486" spans="1:8" x14ac:dyDescent="0.3">
      <c r="A1486">
        <v>1485</v>
      </c>
      <c r="B1486" s="1">
        <v>46146</v>
      </c>
      <c r="C1486" s="2">
        <v>0.48541666666666666</v>
      </c>
      <c r="D1486" t="s">
        <v>8</v>
      </c>
      <c r="E1486" t="s">
        <v>9</v>
      </c>
      <c r="F1486">
        <v>350</v>
      </c>
      <c r="G1486" t="s">
        <v>185</v>
      </c>
      <c r="H1486" t="s">
        <v>374</v>
      </c>
    </row>
    <row r="1487" spans="1:8" x14ac:dyDescent="0.3">
      <c r="A1487">
        <v>1486</v>
      </c>
      <c r="B1487" s="1">
        <v>46146</v>
      </c>
      <c r="C1487" s="2">
        <v>0.4909722222222222</v>
      </c>
      <c r="D1487" t="s">
        <v>8</v>
      </c>
      <c r="E1487" t="s">
        <v>9</v>
      </c>
      <c r="F1487">
        <v>30</v>
      </c>
      <c r="G1487" t="s">
        <v>185</v>
      </c>
      <c r="H1487" t="s">
        <v>374</v>
      </c>
    </row>
    <row r="1488" spans="1:8" x14ac:dyDescent="0.3">
      <c r="A1488">
        <v>1487</v>
      </c>
      <c r="B1488" s="1">
        <v>46147</v>
      </c>
      <c r="C1488" s="2">
        <v>0.35625000000000001</v>
      </c>
      <c r="D1488" t="s">
        <v>8</v>
      </c>
      <c r="E1488" t="s">
        <v>9</v>
      </c>
      <c r="F1488">
        <v>7</v>
      </c>
      <c r="G1488" t="s">
        <v>372</v>
      </c>
      <c r="H1488" t="s">
        <v>374</v>
      </c>
    </row>
    <row r="1489" spans="1:8" x14ac:dyDescent="0.3">
      <c r="A1489">
        <v>1488</v>
      </c>
      <c r="B1489" s="1">
        <v>46147</v>
      </c>
      <c r="C1489" s="2">
        <v>0.78680555555555554</v>
      </c>
      <c r="D1489" t="s">
        <v>8</v>
      </c>
      <c r="E1489" t="s">
        <v>9</v>
      </c>
      <c r="F1489">
        <v>200</v>
      </c>
      <c r="G1489" t="s">
        <v>185</v>
      </c>
      <c r="H1489" t="s">
        <v>374</v>
      </c>
    </row>
    <row r="1490" spans="1:8" x14ac:dyDescent="0.3">
      <c r="A1490">
        <v>1489</v>
      </c>
      <c r="B1490" s="1">
        <v>46148</v>
      </c>
      <c r="C1490" s="2">
        <v>0.33263888888888887</v>
      </c>
      <c r="D1490" t="s">
        <v>8</v>
      </c>
      <c r="E1490" t="s">
        <v>9</v>
      </c>
      <c r="F1490">
        <v>100</v>
      </c>
      <c r="G1490" t="s">
        <v>380</v>
      </c>
      <c r="H1490" t="s">
        <v>374</v>
      </c>
    </row>
    <row r="1491" spans="1:8" x14ac:dyDescent="0.3">
      <c r="A1491">
        <v>1490</v>
      </c>
      <c r="B1491" s="1">
        <v>46148</v>
      </c>
      <c r="C1491" s="2">
        <v>0.33333333333333331</v>
      </c>
      <c r="D1491" t="s">
        <v>8</v>
      </c>
      <c r="E1491" t="s">
        <v>9</v>
      </c>
      <c r="F1491">
        <v>4500</v>
      </c>
      <c r="G1491" t="s">
        <v>203</v>
      </c>
      <c r="H1491" t="s">
        <v>374</v>
      </c>
    </row>
    <row r="1492" spans="1:8" x14ac:dyDescent="0.3">
      <c r="A1492">
        <v>1491</v>
      </c>
      <c r="B1492" s="1">
        <v>46148</v>
      </c>
      <c r="C1492" s="2">
        <v>0.46736111111111112</v>
      </c>
      <c r="D1492" t="s">
        <v>8</v>
      </c>
      <c r="E1492" t="s">
        <v>9</v>
      </c>
      <c r="F1492">
        <v>4000</v>
      </c>
      <c r="G1492" t="s">
        <v>68</v>
      </c>
      <c r="H1492" t="s">
        <v>374</v>
      </c>
    </row>
    <row r="1493" spans="1:8" x14ac:dyDescent="0.3">
      <c r="A1493">
        <v>1492</v>
      </c>
      <c r="B1493" s="1">
        <v>46148</v>
      </c>
      <c r="C1493" s="2">
        <v>0.77708333333333335</v>
      </c>
      <c r="D1493" t="s">
        <v>8</v>
      </c>
      <c r="E1493" t="s">
        <v>9</v>
      </c>
      <c r="F1493">
        <v>10</v>
      </c>
      <c r="G1493" t="s">
        <v>166</v>
      </c>
      <c r="H1493" t="s">
        <v>374</v>
      </c>
    </row>
    <row r="1494" spans="1:8" x14ac:dyDescent="0.3">
      <c r="A1494">
        <v>1493</v>
      </c>
      <c r="B1494" s="1">
        <v>46149</v>
      </c>
      <c r="C1494" s="2">
        <v>0.13750000000000001</v>
      </c>
      <c r="D1494" t="s">
        <v>22</v>
      </c>
      <c r="E1494" t="s">
        <v>23</v>
      </c>
      <c r="F1494">
        <v>100</v>
      </c>
      <c r="G1494" t="s">
        <v>12</v>
      </c>
      <c r="H1494" t="s">
        <v>374</v>
      </c>
    </row>
    <row r="1495" spans="1:8" x14ac:dyDescent="0.3">
      <c r="A1495">
        <v>1494</v>
      </c>
      <c r="B1495" s="1">
        <v>46149</v>
      </c>
      <c r="C1495" s="2">
        <v>0.30069444444444443</v>
      </c>
      <c r="D1495" t="s">
        <v>22</v>
      </c>
      <c r="E1495" t="s">
        <v>23</v>
      </c>
      <c r="F1495">
        <v>17000</v>
      </c>
      <c r="G1495" t="s">
        <v>282</v>
      </c>
      <c r="H1495" t="s">
        <v>374</v>
      </c>
    </row>
    <row r="1496" spans="1:8" x14ac:dyDescent="0.3">
      <c r="A1496">
        <v>1495</v>
      </c>
      <c r="B1496" s="1">
        <v>46149</v>
      </c>
      <c r="C1496" s="2">
        <v>0.30486111111111114</v>
      </c>
      <c r="D1496" t="s">
        <v>8</v>
      </c>
      <c r="E1496" t="s">
        <v>9</v>
      </c>
      <c r="F1496">
        <v>17000</v>
      </c>
      <c r="G1496" t="s">
        <v>282</v>
      </c>
      <c r="H1496" t="s">
        <v>374</v>
      </c>
    </row>
    <row r="1497" spans="1:8" x14ac:dyDescent="0.3">
      <c r="A1497">
        <v>1496</v>
      </c>
      <c r="B1497" s="1">
        <v>46149</v>
      </c>
      <c r="C1497" s="2">
        <v>0.39513888888888887</v>
      </c>
      <c r="D1497" t="s">
        <v>8</v>
      </c>
      <c r="E1497" t="s">
        <v>9</v>
      </c>
      <c r="F1497">
        <v>1400</v>
      </c>
      <c r="G1497" t="s">
        <v>185</v>
      </c>
      <c r="H1497" t="s">
        <v>374</v>
      </c>
    </row>
    <row r="1498" spans="1:8" x14ac:dyDescent="0.3">
      <c r="A1498">
        <v>1497</v>
      </c>
      <c r="B1498" s="1">
        <v>46149</v>
      </c>
      <c r="C1498" s="2">
        <v>0.43194444444444446</v>
      </c>
      <c r="D1498" t="s">
        <v>8</v>
      </c>
      <c r="E1498" t="s">
        <v>9</v>
      </c>
      <c r="F1498">
        <v>139</v>
      </c>
      <c r="G1498" t="s">
        <v>381</v>
      </c>
      <c r="H1498" t="s">
        <v>374</v>
      </c>
    </row>
    <row r="1499" spans="1:8" x14ac:dyDescent="0.3">
      <c r="A1499">
        <v>1498</v>
      </c>
      <c r="B1499" s="1">
        <v>46149</v>
      </c>
      <c r="C1499" s="2">
        <v>0.59375</v>
      </c>
      <c r="D1499" t="s">
        <v>8</v>
      </c>
      <c r="E1499" t="s">
        <v>9</v>
      </c>
      <c r="F1499">
        <v>105</v>
      </c>
      <c r="G1499" t="s">
        <v>382</v>
      </c>
      <c r="H1499" t="s">
        <v>374</v>
      </c>
    </row>
    <row r="1500" spans="1:8" x14ac:dyDescent="0.3">
      <c r="A1500">
        <v>1499</v>
      </c>
      <c r="B1500" s="1">
        <v>46149</v>
      </c>
      <c r="C1500" s="2">
        <v>0.59444444444444444</v>
      </c>
      <c r="D1500" t="s">
        <v>8</v>
      </c>
      <c r="E1500" t="s">
        <v>9</v>
      </c>
      <c r="F1500">
        <v>200</v>
      </c>
      <c r="G1500" t="s">
        <v>185</v>
      </c>
      <c r="H1500" t="s">
        <v>374</v>
      </c>
    </row>
    <row r="1501" spans="1:8" x14ac:dyDescent="0.3">
      <c r="A1501">
        <v>1500</v>
      </c>
      <c r="B1501" s="1">
        <v>46149</v>
      </c>
      <c r="C1501" s="2">
        <v>0.90416666666666667</v>
      </c>
      <c r="D1501" t="s">
        <v>22</v>
      </c>
      <c r="E1501" t="s">
        <v>23</v>
      </c>
      <c r="F1501">
        <v>7000</v>
      </c>
      <c r="G1501" t="s">
        <v>74</v>
      </c>
      <c r="H1501" t="s">
        <v>374</v>
      </c>
    </row>
    <row r="1502" spans="1:8" x14ac:dyDescent="0.3">
      <c r="A1502">
        <v>1501</v>
      </c>
      <c r="B1502" s="1">
        <v>46149</v>
      </c>
      <c r="C1502" s="2">
        <v>0.90416666666666667</v>
      </c>
      <c r="D1502" t="s">
        <v>8</v>
      </c>
      <c r="E1502" t="s">
        <v>9</v>
      </c>
      <c r="F1502">
        <v>7000</v>
      </c>
      <c r="G1502" t="s">
        <v>68</v>
      </c>
      <c r="H1502" t="s">
        <v>374</v>
      </c>
    </row>
    <row r="1503" spans="1:8" x14ac:dyDescent="0.3">
      <c r="A1503">
        <v>1502</v>
      </c>
      <c r="B1503" s="1">
        <v>46150</v>
      </c>
      <c r="C1503" s="2">
        <v>0.60902777777777772</v>
      </c>
      <c r="D1503" t="s">
        <v>8</v>
      </c>
      <c r="E1503" t="s">
        <v>9</v>
      </c>
      <c r="F1503">
        <v>30</v>
      </c>
      <c r="G1503" t="s">
        <v>383</v>
      </c>
      <c r="H1503" t="s">
        <v>374</v>
      </c>
    </row>
    <row r="1504" spans="1:8" x14ac:dyDescent="0.3">
      <c r="A1504">
        <v>1503</v>
      </c>
      <c r="B1504" s="1">
        <v>46150</v>
      </c>
      <c r="C1504" s="2">
        <v>0.77708333333333335</v>
      </c>
      <c r="D1504" t="s">
        <v>22</v>
      </c>
      <c r="E1504" t="s">
        <v>23</v>
      </c>
      <c r="F1504">
        <v>6800</v>
      </c>
      <c r="G1504" t="s">
        <v>35</v>
      </c>
      <c r="H1504" t="s">
        <v>374</v>
      </c>
    </row>
    <row r="1505" spans="1:8" x14ac:dyDescent="0.3">
      <c r="A1505">
        <v>1504</v>
      </c>
      <c r="B1505" s="1">
        <v>46151</v>
      </c>
      <c r="C1505" s="2">
        <v>0.64236111111111116</v>
      </c>
      <c r="D1505" t="s">
        <v>22</v>
      </c>
      <c r="E1505" t="s">
        <v>23</v>
      </c>
      <c r="F1505">
        <v>100</v>
      </c>
      <c r="G1505" t="s">
        <v>380</v>
      </c>
      <c r="H1505" t="s">
        <v>374</v>
      </c>
    </row>
    <row r="1506" spans="1:8" x14ac:dyDescent="0.3">
      <c r="A1506">
        <v>1505</v>
      </c>
      <c r="B1506" s="1">
        <v>46151</v>
      </c>
      <c r="C1506" s="2">
        <v>0.77847222222222223</v>
      </c>
      <c r="D1506" t="s">
        <v>8</v>
      </c>
      <c r="E1506" t="s">
        <v>9</v>
      </c>
      <c r="F1506">
        <v>130</v>
      </c>
      <c r="G1506" t="s">
        <v>384</v>
      </c>
      <c r="H1506" t="s">
        <v>374</v>
      </c>
    </row>
    <row r="1507" spans="1:8" x14ac:dyDescent="0.3">
      <c r="A1507">
        <v>1506</v>
      </c>
      <c r="B1507" s="1">
        <v>46151</v>
      </c>
      <c r="C1507" s="2">
        <v>0.87291666666666667</v>
      </c>
      <c r="D1507" t="s">
        <v>22</v>
      </c>
      <c r="E1507" t="s">
        <v>23</v>
      </c>
      <c r="F1507">
        <v>130</v>
      </c>
      <c r="G1507" t="s">
        <v>10</v>
      </c>
      <c r="H1507" t="s">
        <v>374</v>
      </c>
    </row>
    <row r="1508" spans="1:8" x14ac:dyDescent="0.3">
      <c r="A1508">
        <v>1507</v>
      </c>
      <c r="B1508" s="1">
        <v>46151</v>
      </c>
      <c r="C1508" s="2">
        <v>0.89513888888888893</v>
      </c>
      <c r="D1508" t="s">
        <v>38</v>
      </c>
      <c r="E1508" t="s">
        <v>9</v>
      </c>
      <c r="F1508">
        <v>1040</v>
      </c>
      <c r="G1508" t="s">
        <v>385</v>
      </c>
      <c r="H1508" t="s">
        <v>374</v>
      </c>
    </row>
    <row r="1509" spans="1:8" x14ac:dyDescent="0.3">
      <c r="A1509">
        <v>1508</v>
      </c>
      <c r="B1509" s="1">
        <v>46152</v>
      </c>
      <c r="C1509" s="2">
        <v>0.4861111111111111</v>
      </c>
      <c r="D1509" t="s">
        <v>22</v>
      </c>
      <c r="E1509" t="s">
        <v>23</v>
      </c>
      <c r="F1509">
        <v>200</v>
      </c>
      <c r="G1509" t="s">
        <v>296</v>
      </c>
      <c r="H1509" t="s">
        <v>374</v>
      </c>
    </row>
    <row r="1510" spans="1:8" x14ac:dyDescent="0.3">
      <c r="A1510">
        <v>1509</v>
      </c>
      <c r="B1510" s="1">
        <v>46152</v>
      </c>
      <c r="C1510" s="2">
        <v>0.48888888888888887</v>
      </c>
      <c r="D1510" t="s">
        <v>8</v>
      </c>
      <c r="E1510" t="s">
        <v>9</v>
      </c>
      <c r="F1510">
        <v>200</v>
      </c>
      <c r="G1510" t="s">
        <v>296</v>
      </c>
      <c r="H1510" t="s">
        <v>374</v>
      </c>
    </row>
    <row r="1511" spans="1:8" x14ac:dyDescent="0.3">
      <c r="A1511">
        <v>1510</v>
      </c>
      <c r="B1511" s="1">
        <v>46152</v>
      </c>
      <c r="C1511" s="2">
        <v>0.88402777777777775</v>
      </c>
      <c r="D1511" t="s">
        <v>8</v>
      </c>
      <c r="E1511" t="s">
        <v>9</v>
      </c>
      <c r="F1511">
        <v>150</v>
      </c>
      <c r="G1511" t="s">
        <v>185</v>
      </c>
      <c r="H1511" t="s">
        <v>374</v>
      </c>
    </row>
    <row r="1512" spans="1:8" x14ac:dyDescent="0.3">
      <c r="A1512">
        <v>1511</v>
      </c>
      <c r="B1512" s="1">
        <v>46153</v>
      </c>
      <c r="C1512" s="2">
        <v>0.78055555555555556</v>
      </c>
      <c r="D1512" t="s">
        <v>8</v>
      </c>
      <c r="E1512" t="s">
        <v>9</v>
      </c>
      <c r="F1512">
        <v>14</v>
      </c>
      <c r="G1512" t="s">
        <v>386</v>
      </c>
      <c r="H1512" t="s">
        <v>374</v>
      </c>
    </row>
    <row r="1513" spans="1:8" x14ac:dyDescent="0.3">
      <c r="A1513">
        <v>1512</v>
      </c>
      <c r="B1513" s="1">
        <v>46154</v>
      </c>
      <c r="C1513" s="2">
        <v>0.47638888888888886</v>
      </c>
      <c r="D1513" t="s">
        <v>8</v>
      </c>
      <c r="E1513" t="s">
        <v>9</v>
      </c>
      <c r="F1513">
        <v>300</v>
      </c>
      <c r="G1513" t="s">
        <v>276</v>
      </c>
      <c r="H1513" t="s">
        <v>374</v>
      </c>
    </row>
    <row r="1514" spans="1:8" x14ac:dyDescent="0.3">
      <c r="A1514">
        <v>1513</v>
      </c>
      <c r="B1514" s="1">
        <v>46154</v>
      </c>
      <c r="C1514" s="2">
        <v>0.48125000000000001</v>
      </c>
      <c r="D1514" t="s">
        <v>8</v>
      </c>
      <c r="E1514" t="s">
        <v>9</v>
      </c>
      <c r="F1514">
        <v>10</v>
      </c>
      <c r="G1514" t="s">
        <v>175</v>
      </c>
      <c r="H1514" t="s">
        <v>374</v>
      </c>
    </row>
    <row r="1515" spans="1:8" x14ac:dyDescent="0.3">
      <c r="A1515">
        <v>1514</v>
      </c>
      <c r="B1515" s="1">
        <v>46154</v>
      </c>
      <c r="C1515" s="2">
        <v>0.81458333333333333</v>
      </c>
      <c r="D1515" t="s">
        <v>8</v>
      </c>
      <c r="E1515" t="s">
        <v>9</v>
      </c>
      <c r="F1515">
        <v>96</v>
      </c>
      <c r="G1515" t="s">
        <v>20</v>
      </c>
      <c r="H1515" t="s">
        <v>374</v>
      </c>
    </row>
    <row r="1516" spans="1:8" x14ac:dyDescent="0.3">
      <c r="A1516">
        <v>1515</v>
      </c>
      <c r="B1516" s="1">
        <v>46154</v>
      </c>
      <c r="C1516" s="2">
        <v>0.81458333333333333</v>
      </c>
      <c r="D1516" t="s">
        <v>16</v>
      </c>
      <c r="E1516" t="s">
        <v>9</v>
      </c>
      <c r="F1516">
        <v>100</v>
      </c>
      <c r="G1516" t="s">
        <v>17</v>
      </c>
      <c r="H1516" t="s">
        <v>374</v>
      </c>
    </row>
    <row r="1517" spans="1:8" x14ac:dyDescent="0.3">
      <c r="A1517">
        <v>1516</v>
      </c>
      <c r="B1517" s="1">
        <v>46154</v>
      </c>
      <c r="C1517" s="2">
        <v>0.85277777777777775</v>
      </c>
      <c r="D1517" t="s">
        <v>8</v>
      </c>
      <c r="E1517" t="s">
        <v>9</v>
      </c>
      <c r="F1517">
        <v>2500</v>
      </c>
      <c r="G1517" t="s">
        <v>74</v>
      </c>
      <c r="H1517" t="s">
        <v>374</v>
      </c>
    </row>
    <row r="1518" spans="1:8" x14ac:dyDescent="0.3">
      <c r="A1518">
        <v>1517</v>
      </c>
      <c r="B1518" s="1">
        <v>46154</v>
      </c>
      <c r="C1518" s="2">
        <v>0.86736111111111114</v>
      </c>
      <c r="D1518" t="s">
        <v>22</v>
      </c>
      <c r="E1518" t="s">
        <v>23</v>
      </c>
      <c r="F1518">
        <v>3530</v>
      </c>
      <c r="G1518" t="s">
        <v>35</v>
      </c>
      <c r="H1518" t="s">
        <v>374</v>
      </c>
    </row>
    <row r="1519" spans="1:8" x14ac:dyDescent="0.3">
      <c r="A1519">
        <v>1518</v>
      </c>
      <c r="B1519" s="1">
        <v>46154</v>
      </c>
      <c r="C1519" s="2">
        <v>0.87013888888888891</v>
      </c>
      <c r="D1519" t="s">
        <v>8</v>
      </c>
      <c r="E1519" t="s">
        <v>9</v>
      </c>
      <c r="F1519">
        <v>100</v>
      </c>
      <c r="G1519" t="s">
        <v>35</v>
      </c>
      <c r="H1519" t="s">
        <v>374</v>
      </c>
    </row>
    <row r="1520" spans="1:8" x14ac:dyDescent="0.3">
      <c r="A1520">
        <v>1519</v>
      </c>
      <c r="B1520" s="1">
        <v>46154</v>
      </c>
      <c r="C1520" s="2">
        <v>0.87916666666666665</v>
      </c>
      <c r="D1520" t="s">
        <v>16</v>
      </c>
      <c r="E1520" t="s">
        <v>9</v>
      </c>
      <c r="F1520">
        <v>100</v>
      </c>
      <c r="G1520" t="s">
        <v>17</v>
      </c>
      <c r="H1520" t="s">
        <v>374</v>
      </c>
    </row>
    <row r="1521" spans="1:8" x14ac:dyDescent="0.3">
      <c r="A1521">
        <v>1520</v>
      </c>
      <c r="B1521" s="1">
        <v>46155</v>
      </c>
      <c r="C1521" s="2">
        <v>0.53749999999999998</v>
      </c>
      <c r="D1521" t="s">
        <v>22</v>
      </c>
      <c r="E1521" t="s">
        <v>23</v>
      </c>
      <c r="F1521">
        <v>300</v>
      </c>
      <c r="G1521" t="s">
        <v>296</v>
      </c>
      <c r="H1521" t="s">
        <v>374</v>
      </c>
    </row>
    <row r="1522" spans="1:8" x14ac:dyDescent="0.3">
      <c r="A1522">
        <v>1521</v>
      </c>
      <c r="B1522" s="1">
        <v>46155</v>
      </c>
      <c r="C1522" s="2">
        <v>0.65625</v>
      </c>
      <c r="D1522" t="s">
        <v>8</v>
      </c>
      <c r="E1522" t="s">
        <v>9</v>
      </c>
      <c r="F1522">
        <v>300</v>
      </c>
      <c r="G1522" t="s">
        <v>387</v>
      </c>
      <c r="H1522" t="s">
        <v>374</v>
      </c>
    </row>
    <row r="1523" spans="1:8" x14ac:dyDescent="0.3">
      <c r="A1523">
        <v>1522</v>
      </c>
      <c r="B1523" s="1">
        <v>46155</v>
      </c>
      <c r="C1523" s="2">
        <v>0.81527777777777777</v>
      </c>
      <c r="D1523" t="s">
        <v>22</v>
      </c>
      <c r="E1523" t="s">
        <v>23</v>
      </c>
      <c r="F1523">
        <v>300</v>
      </c>
      <c r="G1523" t="s">
        <v>184</v>
      </c>
      <c r="H1523" t="s">
        <v>374</v>
      </c>
    </row>
    <row r="1524" spans="1:8" x14ac:dyDescent="0.3">
      <c r="A1524">
        <v>1523</v>
      </c>
      <c r="B1524" s="1">
        <v>46155</v>
      </c>
      <c r="C1524" s="2">
        <v>0.84027777777777779</v>
      </c>
      <c r="D1524" t="s">
        <v>22</v>
      </c>
      <c r="E1524" t="s">
        <v>23</v>
      </c>
      <c r="F1524">
        <v>177</v>
      </c>
      <c r="G1524" t="s">
        <v>29</v>
      </c>
      <c r="H1524" t="s">
        <v>374</v>
      </c>
    </row>
    <row r="1525" spans="1:8" x14ac:dyDescent="0.3">
      <c r="A1525">
        <v>1524</v>
      </c>
      <c r="B1525" s="1">
        <v>46155</v>
      </c>
      <c r="C1525" s="2">
        <v>0.84097222222222223</v>
      </c>
      <c r="D1525" t="s">
        <v>8</v>
      </c>
      <c r="E1525" t="s">
        <v>9</v>
      </c>
      <c r="F1525">
        <v>177</v>
      </c>
      <c r="G1525" t="s">
        <v>337</v>
      </c>
      <c r="H1525" t="s">
        <v>374</v>
      </c>
    </row>
    <row r="1526" spans="1:8" x14ac:dyDescent="0.3">
      <c r="A1526">
        <v>1525</v>
      </c>
      <c r="B1526" s="1">
        <v>46155</v>
      </c>
      <c r="C1526" s="2">
        <v>0.85763888888888884</v>
      </c>
      <c r="D1526" t="s">
        <v>49</v>
      </c>
      <c r="E1526" t="s">
        <v>9</v>
      </c>
      <c r="F1526">
        <v>164</v>
      </c>
      <c r="G1526" t="s">
        <v>50</v>
      </c>
      <c r="H1526" t="s">
        <v>374</v>
      </c>
    </row>
    <row r="1527" spans="1:8" x14ac:dyDescent="0.3">
      <c r="A1527">
        <v>1526</v>
      </c>
      <c r="B1527" s="1">
        <v>46155</v>
      </c>
      <c r="C1527" s="2">
        <v>0.9458333333333333</v>
      </c>
      <c r="D1527" t="s">
        <v>14</v>
      </c>
      <c r="E1527" t="s">
        <v>9</v>
      </c>
      <c r="F1527">
        <v>22</v>
      </c>
      <c r="G1527" t="s">
        <v>36</v>
      </c>
      <c r="H1527" t="s">
        <v>374</v>
      </c>
    </row>
    <row r="1528" spans="1:8" x14ac:dyDescent="0.3">
      <c r="A1528">
        <v>1527</v>
      </c>
      <c r="B1528" s="1">
        <v>46156</v>
      </c>
      <c r="C1528" s="2">
        <v>0.48749999999999999</v>
      </c>
      <c r="D1528" t="s">
        <v>8</v>
      </c>
      <c r="E1528" t="s">
        <v>9</v>
      </c>
      <c r="F1528">
        <v>3430</v>
      </c>
      <c r="G1528" t="s">
        <v>35</v>
      </c>
      <c r="H1528" t="s">
        <v>374</v>
      </c>
    </row>
    <row r="1529" spans="1:8" x14ac:dyDescent="0.3">
      <c r="A1529">
        <v>1528</v>
      </c>
      <c r="B1529" s="1">
        <v>46156</v>
      </c>
      <c r="C1529" s="2">
        <v>0.8</v>
      </c>
      <c r="D1529" t="s">
        <v>8</v>
      </c>
      <c r="E1529" t="s">
        <v>9</v>
      </c>
      <c r="F1529">
        <v>25</v>
      </c>
      <c r="G1529" t="s">
        <v>294</v>
      </c>
      <c r="H1529" t="s">
        <v>374</v>
      </c>
    </row>
    <row r="1530" spans="1:8" x14ac:dyDescent="0.3">
      <c r="A1530">
        <v>1529</v>
      </c>
      <c r="B1530" s="1">
        <v>46157</v>
      </c>
      <c r="C1530" s="2">
        <v>0.98958333333333337</v>
      </c>
      <c r="D1530" t="s">
        <v>8</v>
      </c>
      <c r="E1530" t="s">
        <v>9</v>
      </c>
      <c r="F1530">
        <v>300</v>
      </c>
      <c r="G1530" t="s">
        <v>296</v>
      </c>
      <c r="H1530" t="s">
        <v>374</v>
      </c>
    </row>
    <row r="1531" spans="1:8" x14ac:dyDescent="0.3">
      <c r="A1531">
        <v>1530</v>
      </c>
      <c r="B1531" s="1">
        <v>46158</v>
      </c>
      <c r="C1531" s="2">
        <v>0.42222222222222222</v>
      </c>
      <c r="D1531" t="s">
        <v>22</v>
      </c>
      <c r="E1531" t="s">
        <v>23</v>
      </c>
      <c r="F1531">
        <v>294</v>
      </c>
      <c r="G1531" t="s">
        <v>29</v>
      </c>
      <c r="H1531" t="s">
        <v>374</v>
      </c>
    </row>
    <row r="1532" spans="1:8" x14ac:dyDescent="0.3">
      <c r="A1532">
        <v>1531</v>
      </c>
      <c r="B1532" s="1">
        <v>46158</v>
      </c>
      <c r="C1532" s="2">
        <v>0.42291666666666666</v>
      </c>
      <c r="D1532" t="s">
        <v>8</v>
      </c>
      <c r="E1532" t="s">
        <v>9</v>
      </c>
      <c r="F1532">
        <v>294</v>
      </c>
      <c r="G1532" t="s">
        <v>337</v>
      </c>
      <c r="H1532" t="s">
        <v>374</v>
      </c>
    </row>
    <row r="1533" spans="1:8" x14ac:dyDescent="0.3">
      <c r="A1533">
        <v>1532</v>
      </c>
      <c r="B1533" s="1">
        <v>46158</v>
      </c>
      <c r="C1533" s="2">
        <v>0.59513888888888888</v>
      </c>
      <c r="D1533" t="s">
        <v>8</v>
      </c>
      <c r="E1533" t="s">
        <v>9</v>
      </c>
      <c r="F1533">
        <v>20</v>
      </c>
      <c r="G1533" t="s">
        <v>388</v>
      </c>
      <c r="H1533" t="s">
        <v>374</v>
      </c>
    </row>
    <row r="1534" spans="1:8" x14ac:dyDescent="0.3">
      <c r="A1534">
        <v>1533</v>
      </c>
      <c r="B1534" s="1">
        <v>46160</v>
      </c>
      <c r="C1534" s="2">
        <v>0.83194444444444449</v>
      </c>
      <c r="D1534" t="s">
        <v>22</v>
      </c>
      <c r="E1534" t="s">
        <v>23</v>
      </c>
      <c r="F1534">
        <v>213</v>
      </c>
      <c r="G1534" t="s">
        <v>26</v>
      </c>
      <c r="H1534" t="s">
        <v>374</v>
      </c>
    </row>
    <row r="1535" spans="1:8" x14ac:dyDescent="0.3">
      <c r="A1535">
        <v>1534</v>
      </c>
      <c r="B1535" s="1">
        <v>46160</v>
      </c>
      <c r="C1535" s="2">
        <v>0.83333333333333337</v>
      </c>
      <c r="D1535" t="s">
        <v>8</v>
      </c>
      <c r="E1535" t="s">
        <v>9</v>
      </c>
      <c r="F1535">
        <v>213</v>
      </c>
      <c r="G1535" t="s">
        <v>337</v>
      </c>
      <c r="H1535" t="s">
        <v>374</v>
      </c>
    </row>
    <row r="1536" spans="1:8" x14ac:dyDescent="0.3">
      <c r="A1536">
        <v>1535</v>
      </c>
      <c r="B1536" s="1">
        <v>46161</v>
      </c>
      <c r="C1536" s="2">
        <v>0.78749999999999998</v>
      </c>
      <c r="D1536" t="s">
        <v>22</v>
      </c>
      <c r="E1536" t="s">
        <v>23</v>
      </c>
      <c r="F1536">
        <v>500</v>
      </c>
      <c r="G1536" t="s">
        <v>12</v>
      </c>
      <c r="H1536" t="s">
        <v>374</v>
      </c>
    </row>
    <row r="1537" spans="1:8" x14ac:dyDescent="0.3">
      <c r="A1537">
        <v>1536</v>
      </c>
      <c r="B1537" s="1">
        <v>46161</v>
      </c>
      <c r="C1537" s="2">
        <v>0.85833333333333328</v>
      </c>
      <c r="D1537" t="s">
        <v>8</v>
      </c>
      <c r="E1537" t="s">
        <v>9</v>
      </c>
      <c r="F1537">
        <v>154</v>
      </c>
      <c r="G1537" t="s">
        <v>372</v>
      </c>
      <c r="H1537" t="s">
        <v>374</v>
      </c>
    </row>
    <row r="1538" spans="1:8" x14ac:dyDescent="0.3">
      <c r="A1538">
        <v>1537</v>
      </c>
      <c r="B1538" s="1">
        <v>46161</v>
      </c>
      <c r="C1538" s="2">
        <v>0.86527777777777781</v>
      </c>
      <c r="D1538" t="s">
        <v>8</v>
      </c>
      <c r="E1538" t="s">
        <v>9</v>
      </c>
      <c r="F1538">
        <v>125</v>
      </c>
      <c r="G1538" t="s">
        <v>71</v>
      </c>
      <c r="H1538" t="s">
        <v>374</v>
      </c>
    </row>
    <row r="1539" spans="1:8" x14ac:dyDescent="0.3">
      <c r="A1539">
        <v>1538</v>
      </c>
      <c r="B1539" s="1">
        <v>46161</v>
      </c>
      <c r="C1539" s="2">
        <v>0.91597222222222219</v>
      </c>
      <c r="D1539" t="s">
        <v>8</v>
      </c>
      <c r="E1539" t="s">
        <v>9</v>
      </c>
      <c r="F1539">
        <v>400</v>
      </c>
      <c r="G1539" t="s">
        <v>12</v>
      </c>
      <c r="H1539" t="s">
        <v>374</v>
      </c>
    </row>
    <row r="1540" spans="1:8" x14ac:dyDescent="0.3">
      <c r="A1540">
        <v>1539</v>
      </c>
      <c r="B1540" s="1">
        <v>46163</v>
      </c>
      <c r="C1540" s="2">
        <v>0.44374999999999998</v>
      </c>
      <c r="D1540" t="s">
        <v>8</v>
      </c>
      <c r="E1540" t="s">
        <v>9</v>
      </c>
      <c r="F1540">
        <v>20</v>
      </c>
      <c r="G1540" t="s">
        <v>389</v>
      </c>
      <c r="H1540" t="s">
        <v>374</v>
      </c>
    </row>
    <row r="1541" spans="1:8" x14ac:dyDescent="0.3">
      <c r="A1541">
        <v>1540</v>
      </c>
      <c r="B1541" s="1">
        <v>46163</v>
      </c>
      <c r="C1541" s="2">
        <v>0.44444444444444442</v>
      </c>
      <c r="D1541" t="s">
        <v>22</v>
      </c>
      <c r="E1541" t="s">
        <v>23</v>
      </c>
      <c r="F1541">
        <v>200</v>
      </c>
      <c r="G1541" t="s">
        <v>13</v>
      </c>
      <c r="H1541" t="s">
        <v>374</v>
      </c>
    </row>
    <row r="1542" spans="1:8" x14ac:dyDescent="0.3">
      <c r="A1542">
        <v>1541</v>
      </c>
      <c r="B1542" s="1">
        <v>46163</v>
      </c>
      <c r="C1542" s="2">
        <v>0.44930555555555557</v>
      </c>
      <c r="D1542" t="s">
        <v>22</v>
      </c>
      <c r="E1542" t="s">
        <v>23</v>
      </c>
      <c r="F1542">
        <v>8000</v>
      </c>
      <c r="G1542" t="s">
        <v>390</v>
      </c>
      <c r="H1542" t="s">
        <v>374</v>
      </c>
    </row>
    <row r="1543" spans="1:8" x14ac:dyDescent="0.3">
      <c r="A1543">
        <v>1542</v>
      </c>
      <c r="B1543" s="1">
        <v>46163</v>
      </c>
      <c r="C1543" s="2">
        <v>0.45416666666666666</v>
      </c>
      <c r="D1543" t="s">
        <v>18</v>
      </c>
      <c r="E1543" t="s">
        <v>9</v>
      </c>
      <c r="F1543">
        <v>1200</v>
      </c>
      <c r="G1543" t="s">
        <v>19</v>
      </c>
      <c r="H1543" t="s">
        <v>374</v>
      </c>
    </row>
    <row r="1544" spans="1:8" x14ac:dyDescent="0.3">
      <c r="A1544">
        <v>1543</v>
      </c>
      <c r="B1544" s="1">
        <v>46163</v>
      </c>
      <c r="C1544" s="2">
        <v>0.46944444444444444</v>
      </c>
      <c r="D1544" t="s">
        <v>8</v>
      </c>
      <c r="E1544" t="s">
        <v>9</v>
      </c>
      <c r="F1544">
        <v>6800</v>
      </c>
      <c r="G1544" t="s">
        <v>203</v>
      </c>
      <c r="H1544" t="s">
        <v>374</v>
      </c>
    </row>
    <row r="1545" spans="1:8" x14ac:dyDescent="0.3">
      <c r="A1545">
        <v>1544</v>
      </c>
      <c r="B1545" s="1">
        <v>46163</v>
      </c>
      <c r="C1545" s="2">
        <v>0.52986111111111112</v>
      </c>
      <c r="D1545" t="s">
        <v>8</v>
      </c>
      <c r="E1545" t="s">
        <v>9</v>
      </c>
      <c r="F1545">
        <v>800</v>
      </c>
      <c r="G1545" t="s">
        <v>12</v>
      </c>
      <c r="H1545" t="s">
        <v>374</v>
      </c>
    </row>
    <row r="1546" spans="1:8" x14ac:dyDescent="0.3">
      <c r="A1546">
        <v>1545</v>
      </c>
      <c r="B1546" s="1">
        <v>46163</v>
      </c>
      <c r="C1546" s="2">
        <v>0.63472222222222219</v>
      </c>
      <c r="D1546" t="s">
        <v>8</v>
      </c>
      <c r="E1546" t="s">
        <v>9</v>
      </c>
      <c r="F1546">
        <v>166</v>
      </c>
      <c r="G1546" t="s">
        <v>372</v>
      </c>
      <c r="H1546" t="s">
        <v>374</v>
      </c>
    </row>
    <row r="1547" spans="1:8" x14ac:dyDescent="0.3">
      <c r="A1547">
        <v>1546</v>
      </c>
      <c r="B1547" s="1">
        <v>46163</v>
      </c>
      <c r="C1547" s="2">
        <v>0.98958333333333337</v>
      </c>
      <c r="D1547" t="s">
        <v>8</v>
      </c>
      <c r="E1547" t="s">
        <v>9</v>
      </c>
      <c r="F1547">
        <v>430</v>
      </c>
      <c r="G1547" t="s">
        <v>20</v>
      </c>
      <c r="H1547" t="s">
        <v>374</v>
      </c>
    </row>
    <row r="1548" spans="1:8" x14ac:dyDescent="0.3">
      <c r="A1548">
        <v>1547</v>
      </c>
      <c r="B1548" s="1">
        <v>46164</v>
      </c>
      <c r="C1548" s="2">
        <v>0.47013888888888888</v>
      </c>
      <c r="D1548" t="s">
        <v>22</v>
      </c>
      <c r="E1548" t="s">
        <v>23</v>
      </c>
      <c r="F1548">
        <v>1200</v>
      </c>
      <c r="G1548" t="s">
        <v>13</v>
      </c>
      <c r="H1548" t="s">
        <v>374</v>
      </c>
    </row>
    <row r="1549" spans="1:8" x14ac:dyDescent="0.3">
      <c r="A1549">
        <v>1548</v>
      </c>
      <c r="B1549" s="1">
        <v>46164</v>
      </c>
      <c r="C1549" s="2">
        <v>0.47083333333333333</v>
      </c>
      <c r="D1549" t="s">
        <v>18</v>
      </c>
      <c r="E1549" t="s">
        <v>9</v>
      </c>
      <c r="F1549">
        <v>1200</v>
      </c>
      <c r="G1549" t="s">
        <v>19</v>
      </c>
      <c r="H1549" t="s">
        <v>374</v>
      </c>
    </row>
    <row r="1550" spans="1:8" x14ac:dyDescent="0.3">
      <c r="A1550">
        <v>1549</v>
      </c>
      <c r="B1550" s="1">
        <v>46164</v>
      </c>
      <c r="C1550" s="2">
        <v>0.55833333333333335</v>
      </c>
      <c r="D1550" t="s">
        <v>8</v>
      </c>
      <c r="E1550" t="s">
        <v>9</v>
      </c>
      <c r="F1550">
        <v>992</v>
      </c>
      <c r="G1550" t="s">
        <v>35</v>
      </c>
      <c r="H1550" t="s">
        <v>374</v>
      </c>
    </row>
    <row r="1551" spans="1:8" x14ac:dyDescent="0.3">
      <c r="A1551">
        <v>1550</v>
      </c>
      <c r="B1551" s="1">
        <v>46164</v>
      </c>
      <c r="C1551" s="2">
        <v>0.55902777777777779</v>
      </c>
      <c r="D1551" t="s">
        <v>16</v>
      </c>
      <c r="E1551" t="s">
        <v>9</v>
      </c>
      <c r="F1551">
        <v>450</v>
      </c>
      <c r="G1551" t="s">
        <v>17</v>
      </c>
      <c r="H1551" t="s">
        <v>374</v>
      </c>
    </row>
    <row r="1552" spans="1:8" x14ac:dyDescent="0.3">
      <c r="A1552">
        <v>1551</v>
      </c>
      <c r="B1552" s="1">
        <v>46164</v>
      </c>
      <c r="C1552" s="2">
        <v>0.56805555555555554</v>
      </c>
      <c r="D1552" t="s">
        <v>8</v>
      </c>
      <c r="E1552" t="s">
        <v>9</v>
      </c>
      <c r="F1552">
        <v>6000</v>
      </c>
      <c r="G1552" t="s">
        <v>20</v>
      </c>
      <c r="H1552" t="s">
        <v>374</v>
      </c>
    </row>
    <row r="1553" spans="1:8" x14ac:dyDescent="0.3">
      <c r="A1553">
        <v>1552</v>
      </c>
      <c r="B1553" s="1">
        <v>46165</v>
      </c>
      <c r="C1553" s="2">
        <v>0.37430555555555556</v>
      </c>
      <c r="D1553" t="s">
        <v>8</v>
      </c>
      <c r="E1553" t="s">
        <v>9</v>
      </c>
      <c r="F1553">
        <v>20</v>
      </c>
      <c r="G1553" t="s">
        <v>166</v>
      </c>
      <c r="H1553" t="s">
        <v>374</v>
      </c>
    </row>
    <row r="1554" spans="1:8" x14ac:dyDescent="0.3">
      <c r="A1554">
        <v>1553</v>
      </c>
      <c r="B1554" s="1">
        <v>46166</v>
      </c>
      <c r="C1554" s="2">
        <v>0.52777777777777779</v>
      </c>
      <c r="D1554" t="s">
        <v>8</v>
      </c>
      <c r="E1554" t="s">
        <v>9</v>
      </c>
      <c r="F1554">
        <v>14</v>
      </c>
      <c r="G1554" t="s">
        <v>166</v>
      </c>
      <c r="H1554" t="s">
        <v>374</v>
      </c>
    </row>
    <row r="1555" spans="1:8" x14ac:dyDescent="0.3">
      <c r="A1555">
        <v>1554</v>
      </c>
      <c r="B1555" s="1">
        <v>46167</v>
      </c>
      <c r="C1555" s="2">
        <v>0.61041666666666672</v>
      </c>
      <c r="D1555" t="s">
        <v>8</v>
      </c>
      <c r="E1555" t="s">
        <v>9</v>
      </c>
      <c r="F1555">
        <v>10</v>
      </c>
      <c r="G1555" t="s">
        <v>129</v>
      </c>
      <c r="H1555" t="s">
        <v>374</v>
      </c>
    </row>
    <row r="1556" spans="1:8" x14ac:dyDescent="0.3">
      <c r="A1556">
        <v>1555</v>
      </c>
      <c r="B1556" s="1">
        <v>46169</v>
      </c>
      <c r="C1556" s="2">
        <v>0.86041666666666672</v>
      </c>
      <c r="D1556" t="s">
        <v>22</v>
      </c>
      <c r="E1556" t="s">
        <v>23</v>
      </c>
      <c r="F1556">
        <v>150</v>
      </c>
      <c r="G1556" t="s">
        <v>59</v>
      </c>
      <c r="H1556" t="s">
        <v>374</v>
      </c>
    </row>
    <row r="1557" spans="1:8" x14ac:dyDescent="0.3">
      <c r="A1557">
        <v>1556</v>
      </c>
      <c r="B1557" s="1">
        <v>46170</v>
      </c>
      <c r="C1557" s="2">
        <v>0.90486111111111112</v>
      </c>
      <c r="D1557" t="s">
        <v>22</v>
      </c>
      <c r="E1557" t="s">
        <v>23</v>
      </c>
      <c r="F1557">
        <v>700</v>
      </c>
      <c r="G1557" t="s">
        <v>30</v>
      </c>
      <c r="H1557" t="s">
        <v>374</v>
      </c>
    </row>
    <row r="1558" spans="1:8" x14ac:dyDescent="0.3">
      <c r="A1558">
        <v>1557</v>
      </c>
      <c r="B1558" s="1">
        <v>46170</v>
      </c>
      <c r="C1558" s="2">
        <v>0.90763888888888888</v>
      </c>
      <c r="D1558" t="s">
        <v>8</v>
      </c>
      <c r="E1558" t="s">
        <v>9</v>
      </c>
      <c r="F1558">
        <v>500</v>
      </c>
      <c r="G1558" t="s">
        <v>74</v>
      </c>
      <c r="H1558" t="s">
        <v>374</v>
      </c>
    </row>
    <row r="1559" spans="1:8" x14ac:dyDescent="0.3">
      <c r="A1559">
        <v>1558</v>
      </c>
      <c r="B1559" s="1">
        <v>46170</v>
      </c>
      <c r="C1559" s="2">
        <v>0.90833333333333333</v>
      </c>
      <c r="D1559" t="s">
        <v>8</v>
      </c>
      <c r="E1559" t="s">
        <v>9</v>
      </c>
      <c r="F1559">
        <v>200</v>
      </c>
      <c r="G1559" t="s">
        <v>225</v>
      </c>
      <c r="H1559" t="s">
        <v>374</v>
      </c>
    </row>
    <row r="1560" spans="1:8" x14ac:dyDescent="0.3">
      <c r="A1560">
        <v>1559</v>
      </c>
      <c r="B1560" s="1">
        <v>46171</v>
      </c>
      <c r="C1560" s="2">
        <v>0.76736111111111116</v>
      </c>
      <c r="D1560" t="s">
        <v>22</v>
      </c>
      <c r="E1560" t="s">
        <v>23</v>
      </c>
      <c r="F1560">
        <v>1000</v>
      </c>
      <c r="G1560" t="s">
        <v>377</v>
      </c>
      <c r="H1560" t="s">
        <v>374</v>
      </c>
    </row>
    <row r="1561" spans="1:8" x14ac:dyDescent="0.3">
      <c r="A1561">
        <v>1560</v>
      </c>
      <c r="B1561" s="1">
        <v>46172</v>
      </c>
      <c r="C1561" s="2">
        <v>0.58402777777777781</v>
      </c>
      <c r="D1561" t="s">
        <v>8</v>
      </c>
      <c r="E1561" t="s">
        <v>9</v>
      </c>
      <c r="F1561">
        <v>280</v>
      </c>
      <c r="G1561" t="s">
        <v>35</v>
      </c>
      <c r="H1561" t="s">
        <v>374</v>
      </c>
    </row>
    <row r="1562" spans="1:8" x14ac:dyDescent="0.3">
      <c r="A1562">
        <v>1561</v>
      </c>
      <c r="B1562" s="1">
        <v>46173</v>
      </c>
      <c r="C1562" s="2">
        <v>0.60624999999999996</v>
      </c>
      <c r="D1562" t="s">
        <v>22</v>
      </c>
      <c r="E1562" t="s">
        <v>23</v>
      </c>
      <c r="F1562">
        <v>800</v>
      </c>
      <c r="G1562" t="s">
        <v>12</v>
      </c>
      <c r="H1562" t="s">
        <v>374</v>
      </c>
    </row>
    <row r="1563" spans="1:8" x14ac:dyDescent="0.3">
      <c r="A1563">
        <v>1562</v>
      </c>
      <c r="B1563" s="1">
        <v>46173</v>
      </c>
      <c r="C1563" s="2">
        <v>0.62569444444444444</v>
      </c>
      <c r="D1563" t="s">
        <v>8</v>
      </c>
      <c r="E1563" t="s">
        <v>9</v>
      </c>
      <c r="F1563">
        <v>1000</v>
      </c>
      <c r="G1563" t="s">
        <v>230</v>
      </c>
      <c r="H1563" t="s">
        <v>374</v>
      </c>
    </row>
    <row r="1564" spans="1:8" x14ac:dyDescent="0.3">
      <c r="A1564">
        <v>1563</v>
      </c>
      <c r="B1564" s="1">
        <v>46173</v>
      </c>
      <c r="C1564" s="2">
        <v>0.7006944444444444</v>
      </c>
      <c r="D1564" t="s">
        <v>8</v>
      </c>
      <c r="E1564" t="s">
        <v>9</v>
      </c>
      <c r="F1564">
        <v>500</v>
      </c>
      <c r="G1564" t="s">
        <v>276</v>
      </c>
      <c r="H1564" t="s">
        <v>374</v>
      </c>
    </row>
    <row r="1565" spans="1:8" x14ac:dyDescent="0.3">
      <c r="A1565">
        <v>1564</v>
      </c>
      <c r="B1565" s="1">
        <v>46175</v>
      </c>
      <c r="C1565" s="2">
        <v>0.72013888888888888</v>
      </c>
      <c r="D1565" t="s">
        <v>8</v>
      </c>
      <c r="E1565" t="s">
        <v>9</v>
      </c>
      <c r="F1565">
        <v>95</v>
      </c>
      <c r="G1565" t="s">
        <v>391</v>
      </c>
      <c r="H1565" t="s">
        <v>392</v>
      </c>
    </row>
    <row r="1566" spans="1:8" x14ac:dyDescent="0.3">
      <c r="A1566">
        <v>1565</v>
      </c>
      <c r="B1566" s="1">
        <v>46175</v>
      </c>
      <c r="C1566" s="2">
        <v>0.8666666666666667</v>
      </c>
      <c r="D1566" t="s">
        <v>22</v>
      </c>
      <c r="E1566" t="s">
        <v>23</v>
      </c>
      <c r="F1566">
        <v>2130</v>
      </c>
      <c r="G1566" t="s">
        <v>30</v>
      </c>
      <c r="H1566" t="s">
        <v>392</v>
      </c>
    </row>
    <row r="1567" spans="1:8" x14ac:dyDescent="0.3">
      <c r="A1567">
        <v>1566</v>
      </c>
      <c r="B1567" s="1">
        <v>46175</v>
      </c>
      <c r="C1567" s="2">
        <v>0.89513888888888893</v>
      </c>
      <c r="D1567" t="s">
        <v>14</v>
      </c>
      <c r="E1567" t="s">
        <v>9</v>
      </c>
      <c r="F1567">
        <v>22</v>
      </c>
      <c r="G1567" t="s">
        <v>36</v>
      </c>
      <c r="H1567" t="s">
        <v>392</v>
      </c>
    </row>
    <row r="1568" spans="1:8" x14ac:dyDescent="0.3">
      <c r="A1568">
        <v>1567</v>
      </c>
      <c r="B1568" s="1">
        <v>46176</v>
      </c>
      <c r="C1568" s="2">
        <v>0.53888888888888886</v>
      </c>
      <c r="D1568" t="s">
        <v>22</v>
      </c>
      <c r="E1568" t="s">
        <v>23</v>
      </c>
      <c r="F1568">
        <v>500</v>
      </c>
      <c r="G1568" t="s">
        <v>393</v>
      </c>
      <c r="H1568" t="s">
        <v>392</v>
      </c>
    </row>
    <row r="1569" spans="1:8" x14ac:dyDescent="0.3">
      <c r="A1569">
        <v>1568</v>
      </c>
      <c r="B1569" s="1">
        <v>46176</v>
      </c>
      <c r="C1569" s="2">
        <v>0.5395833333333333</v>
      </c>
      <c r="D1569" t="s">
        <v>8</v>
      </c>
      <c r="E1569" t="s">
        <v>9</v>
      </c>
      <c r="F1569">
        <v>2500</v>
      </c>
      <c r="G1569" t="s">
        <v>394</v>
      </c>
      <c r="H1569" t="s">
        <v>392</v>
      </c>
    </row>
    <row r="1570" spans="1:8" x14ac:dyDescent="0.3">
      <c r="A1570">
        <v>1569</v>
      </c>
      <c r="B1570" s="1">
        <v>46176</v>
      </c>
      <c r="C1570" s="2">
        <v>0.54027777777777775</v>
      </c>
      <c r="D1570" t="s">
        <v>22</v>
      </c>
      <c r="E1570" t="s">
        <v>23</v>
      </c>
      <c r="F1570">
        <v>200</v>
      </c>
      <c r="G1570" t="s">
        <v>74</v>
      </c>
      <c r="H1570" t="s">
        <v>392</v>
      </c>
    </row>
    <row r="1571" spans="1:8" x14ac:dyDescent="0.3">
      <c r="A1571">
        <v>1570</v>
      </c>
      <c r="B1571" s="1">
        <v>46176</v>
      </c>
      <c r="C1571" s="2">
        <v>0.54236111111111107</v>
      </c>
      <c r="D1571" t="s">
        <v>8</v>
      </c>
      <c r="E1571" t="s">
        <v>9</v>
      </c>
      <c r="F1571">
        <v>200</v>
      </c>
      <c r="G1571" t="s">
        <v>74</v>
      </c>
      <c r="H1571" t="s">
        <v>392</v>
      </c>
    </row>
    <row r="1572" spans="1:8" x14ac:dyDescent="0.3">
      <c r="A1572">
        <v>1571</v>
      </c>
      <c r="B1572" s="1">
        <v>46176</v>
      </c>
      <c r="C1572" s="2">
        <v>0.5444444444444444</v>
      </c>
      <c r="D1572" t="s">
        <v>8</v>
      </c>
      <c r="E1572" t="s">
        <v>9</v>
      </c>
      <c r="F1572">
        <v>200</v>
      </c>
      <c r="G1572" t="s">
        <v>74</v>
      </c>
      <c r="H1572" t="s">
        <v>392</v>
      </c>
    </row>
    <row r="1573" spans="1:8" x14ac:dyDescent="0.3">
      <c r="A1573">
        <v>1572</v>
      </c>
      <c r="B1573" s="1">
        <v>46176</v>
      </c>
      <c r="C1573" s="2">
        <v>0.5444444444444444</v>
      </c>
      <c r="D1573" t="s">
        <v>22</v>
      </c>
      <c r="E1573" t="s">
        <v>23</v>
      </c>
      <c r="F1573">
        <v>200</v>
      </c>
      <c r="G1573" t="s">
        <v>74</v>
      </c>
      <c r="H1573" t="s">
        <v>392</v>
      </c>
    </row>
    <row r="1574" spans="1:8" x14ac:dyDescent="0.3">
      <c r="A1574">
        <v>1573</v>
      </c>
      <c r="B1574" s="1">
        <v>46177</v>
      </c>
      <c r="C1574" s="2">
        <v>0.51597222222222228</v>
      </c>
      <c r="D1574" t="s">
        <v>8</v>
      </c>
      <c r="E1574" t="s">
        <v>9</v>
      </c>
      <c r="F1574">
        <v>2000</v>
      </c>
      <c r="G1574" t="s">
        <v>20</v>
      </c>
      <c r="H1574" t="s">
        <v>392</v>
      </c>
    </row>
    <row r="1575" spans="1:8" x14ac:dyDescent="0.3">
      <c r="A1575">
        <v>1574</v>
      </c>
      <c r="B1575" s="1">
        <v>46177</v>
      </c>
      <c r="C1575" s="2">
        <v>0.72430555555555554</v>
      </c>
      <c r="D1575" t="s">
        <v>14</v>
      </c>
      <c r="E1575" t="s">
        <v>9</v>
      </c>
      <c r="F1575">
        <v>26</v>
      </c>
      <c r="G1575" t="s">
        <v>36</v>
      </c>
      <c r="H1575" t="s">
        <v>392</v>
      </c>
    </row>
    <row r="1576" spans="1:8" x14ac:dyDescent="0.3">
      <c r="A1576">
        <v>1575</v>
      </c>
      <c r="B1576" s="1">
        <v>46177</v>
      </c>
      <c r="C1576" s="2">
        <v>0.7270833333333333</v>
      </c>
      <c r="D1576" t="s">
        <v>22</v>
      </c>
      <c r="E1576" t="s">
        <v>23</v>
      </c>
      <c r="F1576">
        <v>500</v>
      </c>
      <c r="G1576" t="s">
        <v>375</v>
      </c>
      <c r="H1576" t="s">
        <v>392</v>
      </c>
    </row>
    <row r="1577" spans="1:8" x14ac:dyDescent="0.3">
      <c r="A1577">
        <v>1576</v>
      </c>
      <c r="B1577" s="1">
        <v>46177</v>
      </c>
      <c r="C1577" s="2">
        <v>0.72847222222222219</v>
      </c>
      <c r="D1577" t="s">
        <v>16</v>
      </c>
      <c r="E1577" t="s">
        <v>9</v>
      </c>
      <c r="F1577">
        <v>500</v>
      </c>
      <c r="G1577" t="s">
        <v>17</v>
      </c>
      <c r="H1577" t="s">
        <v>392</v>
      </c>
    </row>
    <row r="1578" spans="1:8" x14ac:dyDescent="0.3">
      <c r="A1578">
        <v>1577</v>
      </c>
      <c r="B1578" s="1">
        <v>46177</v>
      </c>
      <c r="C1578" s="2">
        <v>0.95416666666666672</v>
      </c>
      <c r="D1578" t="s">
        <v>8</v>
      </c>
      <c r="E1578" t="s">
        <v>9</v>
      </c>
      <c r="F1578">
        <v>300</v>
      </c>
      <c r="G1578" t="s">
        <v>185</v>
      </c>
      <c r="H1578" t="s">
        <v>392</v>
      </c>
    </row>
    <row r="1579" spans="1:8" x14ac:dyDescent="0.3">
      <c r="A1579">
        <v>1578</v>
      </c>
      <c r="B1579" s="1">
        <v>46177</v>
      </c>
      <c r="C1579" s="2">
        <v>0.95416666666666672</v>
      </c>
      <c r="D1579" t="s">
        <v>16</v>
      </c>
      <c r="E1579" t="s">
        <v>9</v>
      </c>
      <c r="F1579">
        <v>300</v>
      </c>
      <c r="G1579" t="s">
        <v>17</v>
      </c>
      <c r="H1579" t="s">
        <v>392</v>
      </c>
    </row>
    <row r="1580" spans="1:8" x14ac:dyDescent="0.3">
      <c r="A1580">
        <v>1579</v>
      </c>
      <c r="B1580" s="1">
        <v>46178</v>
      </c>
      <c r="C1580" s="2">
        <v>0.66874999999999996</v>
      </c>
      <c r="D1580" t="s">
        <v>8</v>
      </c>
      <c r="E1580" t="s">
        <v>9</v>
      </c>
      <c r="F1580">
        <v>50</v>
      </c>
      <c r="G1580" t="s">
        <v>74</v>
      </c>
      <c r="H1580" t="s">
        <v>392</v>
      </c>
    </row>
    <row r="1581" spans="1:8" x14ac:dyDescent="0.3">
      <c r="A1581">
        <v>1580</v>
      </c>
      <c r="B1581" s="1">
        <v>46178</v>
      </c>
      <c r="C1581" s="2">
        <v>0.70763888888888893</v>
      </c>
      <c r="D1581" t="s">
        <v>22</v>
      </c>
      <c r="E1581" t="s">
        <v>23</v>
      </c>
      <c r="F1581">
        <v>100</v>
      </c>
      <c r="G1581" t="s">
        <v>12</v>
      </c>
      <c r="H1581" t="s">
        <v>392</v>
      </c>
    </row>
    <row r="1582" spans="1:8" x14ac:dyDescent="0.3">
      <c r="A1582">
        <v>1581</v>
      </c>
      <c r="B1582" s="1">
        <v>46178</v>
      </c>
      <c r="C1582" s="2">
        <v>0.72291666666666665</v>
      </c>
      <c r="D1582" t="s">
        <v>8</v>
      </c>
      <c r="E1582" t="s">
        <v>9</v>
      </c>
      <c r="F1582">
        <v>79</v>
      </c>
      <c r="G1582" t="s">
        <v>395</v>
      </c>
      <c r="H1582" t="s">
        <v>392</v>
      </c>
    </row>
    <row r="1583" spans="1:8" x14ac:dyDescent="0.3">
      <c r="A1583">
        <v>1582</v>
      </c>
      <c r="B1583" s="1">
        <v>46180</v>
      </c>
      <c r="C1583" s="2">
        <v>0.78194444444444444</v>
      </c>
      <c r="D1583" t="s">
        <v>22</v>
      </c>
      <c r="E1583" t="s">
        <v>23</v>
      </c>
      <c r="F1583">
        <v>6800</v>
      </c>
      <c r="G1583" t="s">
        <v>35</v>
      </c>
      <c r="H1583" t="s">
        <v>392</v>
      </c>
    </row>
    <row r="1584" spans="1:8" x14ac:dyDescent="0.3">
      <c r="A1584">
        <v>1583</v>
      </c>
      <c r="B1584" s="1">
        <v>46181</v>
      </c>
      <c r="C1584" s="2">
        <v>0.54861111111111116</v>
      </c>
      <c r="D1584" t="s">
        <v>8</v>
      </c>
      <c r="E1584" t="s">
        <v>9</v>
      </c>
      <c r="F1584">
        <v>2500</v>
      </c>
      <c r="G1584" t="s">
        <v>74</v>
      </c>
      <c r="H1584" t="s">
        <v>392</v>
      </c>
    </row>
    <row r="1585" spans="1:8" x14ac:dyDescent="0.3">
      <c r="A1585">
        <v>1584</v>
      </c>
      <c r="B1585" s="1">
        <v>46181</v>
      </c>
      <c r="C1585" s="2">
        <v>0.56944444444444442</v>
      </c>
      <c r="D1585" t="s">
        <v>8</v>
      </c>
      <c r="E1585" t="s">
        <v>9</v>
      </c>
      <c r="F1585">
        <v>150</v>
      </c>
      <c r="G1585" t="s">
        <v>74</v>
      </c>
      <c r="H1585" t="s">
        <v>392</v>
      </c>
    </row>
    <row r="1586" spans="1:8" x14ac:dyDescent="0.3">
      <c r="A1586">
        <v>1585</v>
      </c>
      <c r="B1586" s="1">
        <v>46182</v>
      </c>
      <c r="C1586" s="2">
        <v>0.41458333333333336</v>
      </c>
      <c r="D1586" t="s">
        <v>8</v>
      </c>
      <c r="E1586" t="s">
        <v>9</v>
      </c>
      <c r="F1586">
        <v>200</v>
      </c>
      <c r="G1586" t="s">
        <v>74</v>
      </c>
      <c r="H1586" t="s">
        <v>392</v>
      </c>
    </row>
    <row r="1587" spans="1:8" x14ac:dyDescent="0.3">
      <c r="A1587">
        <v>1586</v>
      </c>
      <c r="B1587" s="1">
        <v>46185</v>
      </c>
      <c r="C1587" s="2">
        <v>0.58680555555555558</v>
      </c>
      <c r="D1587" t="s">
        <v>8</v>
      </c>
      <c r="E1587" t="s">
        <v>9</v>
      </c>
      <c r="F1587">
        <v>350</v>
      </c>
      <c r="G1587" t="s">
        <v>396</v>
      </c>
      <c r="H1587" t="s">
        <v>392</v>
      </c>
    </row>
    <row r="1588" spans="1:8" x14ac:dyDescent="0.3">
      <c r="A1588">
        <v>1587</v>
      </c>
      <c r="B1588" s="1">
        <v>46187</v>
      </c>
      <c r="C1588" s="2">
        <v>0.63055555555555554</v>
      </c>
      <c r="D1588" t="s">
        <v>22</v>
      </c>
      <c r="E1588" t="s">
        <v>23</v>
      </c>
      <c r="F1588">
        <v>500</v>
      </c>
      <c r="G1588" t="s">
        <v>30</v>
      </c>
      <c r="H1588" t="s">
        <v>392</v>
      </c>
    </row>
    <row r="1589" spans="1:8" x14ac:dyDescent="0.3">
      <c r="A1589">
        <v>1588</v>
      </c>
      <c r="B1589" s="1">
        <v>46187</v>
      </c>
      <c r="C1589" s="2">
        <v>0.75486111111111109</v>
      </c>
      <c r="D1589" t="s">
        <v>22</v>
      </c>
      <c r="E1589" t="s">
        <v>23</v>
      </c>
      <c r="F1589">
        <v>600</v>
      </c>
      <c r="G1589" t="s">
        <v>30</v>
      </c>
      <c r="H1589" t="s">
        <v>392</v>
      </c>
    </row>
    <row r="1590" spans="1:8" x14ac:dyDescent="0.3">
      <c r="A1590">
        <v>1589</v>
      </c>
      <c r="B1590" s="1">
        <v>46187</v>
      </c>
      <c r="C1590" s="2">
        <v>0.85486111111111107</v>
      </c>
      <c r="D1590" t="s">
        <v>16</v>
      </c>
      <c r="E1590" t="s">
        <v>9</v>
      </c>
      <c r="F1590">
        <v>1100</v>
      </c>
      <c r="G1590" t="s">
        <v>17</v>
      </c>
      <c r="H1590" t="s">
        <v>392</v>
      </c>
    </row>
    <row r="1591" spans="1:8" x14ac:dyDescent="0.3">
      <c r="A1591">
        <v>1590</v>
      </c>
      <c r="B1591" s="1">
        <v>46188</v>
      </c>
      <c r="C1591" s="2">
        <v>0.49236111111111114</v>
      </c>
      <c r="D1591" t="s">
        <v>8</v>
      </c>
      <c r="E1591" t="s">
        <v>9</v>
      </c>
      <c r="F1591">
        <v>1000</v>
      </c>
      <c r="G1591" t="s">
        <v>30</v>
      </c>
      <c r="H1591" t="s">
        <v>392</v>
      </c>
    </row>
    <row r="1592" spans="1:8" x14ac:dyDescent="0.3">
      <c r="A1592">
        <v>1591</v>
      </c>
      <c r="B1592" s="1">
        <v>46188</v>
      </c>
      <c r="C1592" s="2">
        <v>0.49236111111111114</v>
      </c>
      <c r="D1592" t="s">
        <v>8</v>
      </c>
      <c r="E1592" t="s">
        <v>9</v>
      </c>
      <c r="F1592">
        <v>100</v>
      </c>
      <c r="G1592" t="s">
        <v>30</v>
      </c>
      <c r="H1592" t="s">
        <v>392</v>
      </c>
    </row>
    <row r="1593" spans="1:8" x14ac:dyDescent="0.3">
      <c r="A1593">
        <v>1592</v>
      </c>
      <c r="B1593" s="1">
        <v>46189</v>
      </c>
      <c r="C1593" s="2">
        <v>0.63541666666666663</v>
      </c>
      <c r="D1593" t="s">
        <v>8</v>
      </c>
      <c r="E1593" t="s">
        <v>9</v>
      </c>
      <c r="F1593">
        <v>300</v>
      </c>
      <c r="G1593" t="s">
        <v>276</v>
      </c>
      <c r="H1593" t="s">
        <v>392</v>
      </c>
    </row>
    <row r="1594" spans="1:8" x14ac:dyDescent="0.3">
      <c r="A1594">
        <v>1593</v>
      </c>
      <c r="B1594" s="1">
        <v>46192</v>
      </c>
      <c r="C1594" s="2">
        <v>0.41111111111111109</v>
      </c>
      <c r="D1594" t="s">
        <v>22</v>
      </c>
      <c r="E1594" t="s">
        <v>23</v>
      </c>
      <c r="F1594">
        <v>25000</v>
      </c>
      <c r="G1594" t="s">
        <v>397</v>
      </c>
      <c r="H1594" t="s">
        <v>392</v>
      </c>
    </row>
    <row r="1595" spans="1:8" x14ac:dyDescent="0.3">
      <c r="A1595">
        <v>1594</v>
      </c>
      <c r="B1595" s="1">
        <v>46192</v>
      </c>
      <c r="C1595" s="2">
        <v>0.41388888888888886</v>
      </c>
      <c r="D1595" t="s">
        <v>22</v>
      </c>
      <c r="E1595" t="s">
        <v>23</v>
      </c>
      <c r="F1595">
        <v>25000</v>
      </c>
      <c r="G1595" t="s">
        <v>397</v>
      </c>
      <c r="H1595" t="s">
        <v>392</v>
      </c>
    </row>
    <row r="1596" spans="1:8" x14ac:dyDescent="0.3">
      <c r="A1596">
        <v>1595</v>
      </c>
      <c r="B1596" s="1">
        <v>46192</v>
      </c>
      <c r="C1596" s="2">
        <v>0.91527777777777775</v>
      </c>
      <c r="D1596" t="s">
        <v>8</v>
      </c>
      <c r="E1596" t="s">
        <v>9</v>
      </c>
      <c r="F1596">
        <v>205</v>
      </c>
      <c r="G1596" t="s">
        <v>398</v>
      </c>
      <c r="H1596" t="s">
        <v>392</v>
      </c>
    </row>
    <row r="1597" spans="1:8" x14ac:dyDescent="0.3">
      <c r="A1597">
        <v>1596</v>
      </c>
      <c r="B1597" s="1">
        <v>46193</v>
      </c>
      <c r="C1597" s="2">
        <v>0.41458333333333336</v>
      </c>
      <c r="D1597" t="s">
        <v>8</v>
      </c>
      <c r="E1597" t="s">
        <v>9</v>
      </c>
      <c r="F1597">
        <v>10000</v>
      </c>
      <c r="G1597" t="s">
        <v>35</v>
      </c>
      <c r="H1597" t="s">
        <v>392</v>
      </c>
    </row>
    <row r="1598" spans="1:8" x14ac:dyDescent="0.3">
      <c r="A1598">
        <v>1597</v>
      </c>
      <c r="B1598" s="1">
        <v>46193</v>
      </c>
      <c r="C1598" s="2">
        <v>0.47847222222222224</v>
      </c>
      <c r="D1598" t="s">
        <v>8</v>
      </c>
      <c r="E1598" t="s">
        <v>9</v>
      </c>
      <c r="F1598">
        <v>10000</v>
      </c>
      <c r="G1598" t="s">
        <v>203</v>
      </c>
      <c r="H1598" t="s">
        <v>392</v>
      </c>
    </row>
    <row r="1599" spans="1:8" x14ac:dyDescent="0.3">
      <c r="A1599">
        <v>1598</v>
      </c>
      <c r="B1599" s="1">
        <v>46193</v>
      </c>
      <c r="C1599" s="2">
        <v>0.52222222222222225</v>
      </c>
      <c r="D1599" t="s">
        <v>22</v>
      </c>
      <c r="E1599" t="s">
        <v>23</v>
      </c>
      <c r="F1599">
        <v>500</v>
      </c>
      <c r="G1599" t="s">
        <v>399</v>
      </c>
      <c r="H1599" t="s">
        <v>392</v>
      </c>
    </row>
    <row r="1600" spans="1:8" x14ac:dyDescent="0.3">
      <c r="A1600">
        <v>1599</v>
      </c>
      <c r="B1600" s="1">
        <v>46193</v>
      </c>
      <c r="C1600" s="2">
        <v>0.55972222222222223</v>
      </c>
      <c r="D1600" t="s">
        <v>22</v>
      </c>
      <c r="E1600" t="s">
        <v>23</v>
      </c>
      <c r="F1600">
        <v>40</v>
      </c>
      <c r="G1600" t="s">
        <v>12</v>
      </c>
      <c r="H1600" t="s">
        <v>392</v>
      </c>
    </row>
    <row r="1601" spans="1:8" x14ac:dyDescent="0.3">
      <c r="A1601">
        <v>1600</v>
      </c>
      <c r="B1601" s="1">
        <v>46193</v>
      </c>
      <c r="C1601" s="2">
        <v>0.58402777777777781</v>
      </c>
      <c r="D1601" t="s">
        <v>22</v>
      </c>
      <c r="E1601" t="s">
        <v>23</v>
      </c>
      <c r="F1601">
        <v>50</v>
      </c>
      <c r="G1601" t="s">
        <v>35</v>
      </c>
      <c r="H1601" t="s">
        <v>392</v>
      </c>
    </row>
    <row r="1602" spans="1:8" x14ac:dyDescent="0.3">
      <c r="A1602">
        <v>1601</v>
      </c>
      <c r="B1602" s="1">
        <v>46193</v>
      </c>
      <c r="C1602" s="2">
        <v>0.58472222222222225</v>
      </c>
      <c r="D1602" t="s">
        <v>8</v>
      </c>
      <c r="E1602" t="s">
        <v>9</v>
      </c>
      <c r="F1602">
        <v>620</v>
      </c>
      <c r="G1602" t="s">
        <v>400</v>
      </c>
      <c r="H1602" t="s">
        <v>392</v>
      </c>
    </row>
    <row r="1603" spans="1:8" x14ac:dyDescent="0.3">
      <c r="A1603">
        <v>1602</v>
      </c>
      <c r="B1603" s="1">
        <v>46193</v>
      </c>
      <c r="C1603" s="2">
        <v>0.83333333333333337</v>
      </c>
      <c r="D1603" t="s">
        <v>8</v>
      </c>
      <c r="E1603" t="s">
        <v>9</v>
      </c>
      <c r="F1603">
        <v>2000</v>
      </c>
      <c r="G1603" t="s">
        <v>242</v>
      </c>
      <c r="H1603" t="s">
        <v>392</v>
      </c>
    </row>
    <row r="1604" spans="1:8" x14ac:dyDescent="0.3">
      <c r="A1604">
        <v>1603</v>
      </c>
      <c r="B1604" s="1">
        <v>46194</v>
      </c>
      <c r="C1604" s="2">
        <v>0.83888888888888891</v>
      </c>
      <c r="D1604" t="s">
        <v>8</v>
      </c>
      <c r="E1604" t="s">
        <v>9</v>
      </c>
      <c r="F1604">
        <v>110</v>
      </c>
      <c r="G1604" t="s">
        <v>401</v>
      </c>
      <c r="H1604" t="s">
        <v>392</v>
      </c>
    </row>
    <row r="1605" spans="1:8" x14ac:dyDescent="0.3">
      <c r="A1605">
        <v>1604</v>
      </c>
      <c r="B1605" s="1">
        <v>46194</v>
      </c>
      <c r="C1605" s="2">
        <v>0.84027777777777779</v>
      </c>
      <c r="D1605" t="s">
        <v>8</v>
      </c>
      <c r="E1605" t="s">
        <v>9</v>
      </c>
      <c r="F1605">
        <v>24</v>
      </c>
      <c r="G1605" t="s">
        <v>402</v>
      </c>
      <c r="H1605" t="s">
        <v>392</v>
      </c>
    </row>
    <row r="1606" spans="1:8" x14ac:dyDescent="0.3">
      <c r="A1606">
        <v>1605</v>
      </c>
      <c r="B1606" s="1">
        <v>46194</v>
      </c>
      <c r="C1606" s="2">
        <v>0.91597222222222219</v>
      </c>
      <c r="D1606" t="s">
        <v>8</v>
      </c>
      <c r="E1606" t="s">
        <v>9</v>
      </c>
      <c r="F1606">
        <v>30</v>
      </c>
      <c r="G1606" t="s">
        <v>402</v>
      </c>
      <c r="H1606" t="s">
        <v>392</v>
      </c>
    </row>
    <row r="1607" spans="1:8" x14ac:dyDescent="0.3">
      <c r="A1607">
        <v>1606</v>
      </c>
      <c r="B1607" s="1">
        <v>46194</v>
      </c>
      <c r="C1607" s="2">
        <v>0.94236111111111109</v>
      </c>
      <c r="D1607" t="s">
        <v>8</v>
      </c>
      <c r="E1607" t="s">
        <v>9</v>
      </c>
      <c r="F1607">
        <v>1</v>
      </c>
      <c r="G1607" t="s">
        <v>403</v>
      </c>
      <c r="H1607" t="s">
        <v>392</v>
      </c>
    </row>
    <row r="1608" spans="1:8" x14ac:dyDescent="0.3">
      <c r="A1608">
        <v>1607</v>
      </c>
      <c r="B1608" s="1">
        <v>46194</v>
      </c>
      <c r="C1608" s="2">
        <v>0.94236111111111109</v>
      </c>
      <c r="D1608" t="s">
        <v>22</v>
      </c>
      <c r="E1608" t="s">
        <v>23</v>
      </c>
      <c r="F1608">
        <v>1000</v>
      </c>
      <c r="G1608" t="s">
        <v>404</v>
      </c>
      <c r="H1608" t="s">
        <v>392</v>
      </c>
    </row>
    <row r="1609" spans="1:8" x14ac:dyDescent="0.3">
      <c r="A1609">
        <v>1608</v>
      </c>
      <c r="B1609" s="1">
        <v>46194</v>
      </c>
      <c r="C1609" s="2">
        <v>0.94513888888888886</v>
      </c>
      <c r="D1609" t="s">
        <v>8</v>
      </c>
      <c r="E1609" t="s">
        <v>9</v>
      </c>
      <c r="F1609">
        <v>9320</v>
      </c>
      <c r="G1609" t="s">
        <v>185</v>
      </c>
      <c r="H1609" t="s">
        <v>392</v>
      </c>
    </row>
    <row r="1610" spans="1:8" x14ac:dyDescent="0.3">
      <c r="A1610">
        <v>1609</v>
      </c>
      <c r="B1610" s="1">
        <v>46194</v>
      </c>
      <c r="C1610" s="2">
        <v>0.94652777777777775</v>
      </c>
      <c r="D1610" t="s">
        <v>8</v>
      </c>
      <c r="E1610" t="s">
        <v>9</v>
      </c>
      <c r="F1610">
        <v>48</v>
      </c>
      <c r="G1610" t="s">
        <v>203</v>
      </c>
      <c r="H1610" t="s">
        <v>392</v>
      </c>
    </row>
    <row r="1611" spans="1:8" x14ac:dyDescent="0.3">
      <c r="A1611">
        <v>1610</v>
      </c>
      <c r="B1611" s="1">
        <v>46194</v>
      </c>
      <c r="C1611" s="2">
        <v>0.94722222222222219</v>
      </c>
      <c r="D1611" t="s">
        <v>8</v>
      </c>
      <c r="E1611" t="s">
        <v>9</v>
      </c>
      <c r="F1611">
        <v>96</v>
      </c>
      <c r="G1611" t="s">
        <v>203</v>
      </c>
      <c r="H1611" t="s">
        <v>392</v>
      </c>
    </row>
    <row r="1612" spans="1:8" x14ac:dyDescent="0.3">
      <c r="A1612">
        <v>1611</v>
      </c>
      <c r="B1612" s="1">
        <v>46194</v>
      </c>
      <c r="C1612" s="2">
        <v>0.94930555555555551</v>
      </c>
      <c r="D1612" t="s">
        <v>8</v>
      </c>
      <c r="E1612" t="s">
        <v>9</v>
      </c>
      <c r="F1612">
        <v>27800</v>
      </c>
      <c r="G1612" t="s">
        <v>203</v>
      </c>
      <c r="H1612" t="s">
        <v>392</v>
      </c>
    </row>
    <row r="1613" spans="1:8" x14ac:dyDescent="0.3">
      <c r="A1613">
        <v>1612</v>
      </c>
      <c r="B1613" s="1">
        <v>46194</v>
      </c>
      <c r="C1613" s="2">
        <v>0.9506944444444444</v>
      </c>
      <c r="D1613" t="s">
        <v>8</v>
      </c>
      <c r="E1613" t="s">
        <v>9</v>
      </c>
      <c r="F1613">
        <v>870</v>
      </c>
      <c r="G1613" t="s">
        <v>20</v>
      </c>
      <c r="H1613" t="s">
        <v>392</v>
      </c>
    </row>
    <row r="1614" spans="1:8" x14ac:dyDescent="0.3">
      <c r="A1614">
        <v>1613</v>
      </c>
      <c r="B1614" s="1">
        <v>46194</v>
      </c>
      <c r="C1614" s="2">
        <v>0.9506944444444444</v>
      </c>
      <c r="D1614" t="s">
        <v>16</v>
      </c>
      <c r="E1614" t="s">
        <v>9</v>
      </c>
      <c r="F1614">
        <v>878</v>
      </c>
      <c r="G1614" t="s">
        <v>17</v>
      </c>
      <c r="H1614" t="s">
        <v>392</v>
      </c>
    </row>
    <row r="1615" spans="1:8" x14ac:dyDescent="0.3">
      <c r="A1615">
        <v>1614</v>
      </c>
      <c r="B1615" s="1">
        <v>46195</v>
      </c>
      <c r="C1615" s="2">
        <v>0.32291666666666669</v>
      </c>
      <c r="D1615" t="s">
        <v>8</v>
      </c>
      <c r="E1615" t="s">
        <v>9</v>
      </c>
      <c r="F1615">
        <v>2000</v>
      </c>
      <c r="G1615" t="s">
        <v>242</v>
      </c>
      <c r="H1615" t="s">
        <v>392</v>
      </c>
    </row>
    <row r="1616" spans="1:8" x14ac:dyDescent="0.3">
      <c r="A1616">
        <v>1615</v>
      </c>
      <c r="B1616" s="1">
        <v>46195</v>
      </c>
      <c r="C1616" s="2">
        <v>0.59444444444444444</v>
      </c>
      <c r="D1616" t="s">
        <v>8</v>
      </c>
      <c r="E1616" t="s">
        <v>9</v>
      </c>
      <c r="F1616">
        <v>10000</v>
      </c>
      <c r="G1616" t="s">
        <v>405</v>
      </c>
      <c r="H1616" t="s">
        <v>392</v>
      </c>
    </row>
    <row r="1617" spans="1:8" x14ac:dyDescent="0.3">
      <c r="A1617">
        <v>1616</v>
      </c>
      <c r="B1617" s="1">
        <v>46196</v>
      </c>
      <c r="C1617" s="2">
        <v>0.4201388888888889</v>
      </c>
      <c r="D1617" t="s">
        <v>8</v>
      </c>
      <c r="E1617" t="s">
        <v>9</v>
      </c>
      <c r="F1617">
        <v>45</v>
      </c>
      <c r="G1617" t="s">
        <v>406</v>
      </c>
      <c r="H1617" t="s">
        <v>392</v>
      </c>
    </row>
    <row r="1618" spans="1:8" x14ac:dyDescent="0.3">
      <c r="A1618">
        <v>1617</v>
      </c>
      <c r="B1618" s="1">
        <v>46196</v>
      </c>
      <c r="C1618" s="2">
        <v>0.49861111111111112</v>
      </c>
      <c r="D1618" t="s">
        <v>8</v>
      </c>
      <c r="E1618" t="s">
        <v>9</v>
      </c>
      <c r="F1618">
        <v>4000</v>
      </c>
      <c r="G1618" t="s">
        <v>30</v>
      </c>
      <c r="H1618" t="s">
        <v>392</v>
      </c>
    </row>
    <row r="1619" spans="1:8" x14ac:dyDescent="0.3">
      <c r="A1619">
        <v>1618</v>
      </c>
      <c r="B1619" s="1">
        <v>46196</v>
      </c>
      <c r="C1619" s="2">
        <v>0.56388888888888888</v>
      </c>
      <c r="D1619" t="s">
        <v>22</v>
      </c>
      <c r="E1619" t="s">
        <v>23</v>
      </c>
      <c r="F1619">
        <v>45</v>
      </c>
      <c r="G1619" t="s">
        <v>30</v>
      </c>
      <c r="H1619" t="s">
        <v>392</v>
      </c>
    </row>
    <row r="1620" spans="1:8" x14ac:dyDescent="0.3">
      <c r="A1620">
        <v>1619</v>
      </c>
      <c r="B1620" s="1">
        <v>46196</v>
      </c>
      <c r="C1620" s="2">
        <v>0.56458333333333333</v>
      </c>
      <c r="D1620" t="s">
        <v>8</v>
      </c>
      <c r="E1620" t="s">
        <v>9</v>
      </c>
      <c r="F1620">
        <v>45</v>
      </c>
      <c r="G1620" t="s">
        <v>30</v>
      </c>
      <c r="H1620" t="s">
        <v>392</v>
      </c>
    </row>
    <row r="1621" spans="1:8" x14ac:dyDescent="0.3">
      <c r="A1621">
        <v>1620</v>
      </c>
      <c r="B1621" s="1">
        <v>46196</v>
      </c>
      <c r="C1621" s="2">
        <v>0.56527777777777777</v>
      </c>
      <c r="D1621" t="s">
        <v>16</v>
      </c>
      <c r="E1621" t="s">
        <v>9</v>
      </c>
      <c r="F1621">
        <v>45</v>
      </c>
      <c r="G1621" t="s">
        <v>17</v>
      </c>
      <c r="H1621" t="s">
        <v>392</v>
      </c>
    </row>
    <row r="1622" spans="1:8" x14ac:dyDescent="0.3">
      <c r="A1622">
        <v>1621</v>
      </c>
      <c r="B1622" s="1">
        <v>46196</v>
      </c>
      <c r="C1622" s="2">
        <v>0.59722222222222221</v>
      </c>
      <c r="D1622" t="s">
        <v>8</v>
      </c>
      <c r="E1622" t="s">
        <v>9</v>
      </c>
      <c r="F1622">
        <v>62</v>
      </c>
      <c r="G1622" t="s">
        <v>407</v>
      </c>
      <c r="H1622" t="s">
        <v>392</v>
      </c>
    </row>
    <row r="1623" spans="1:8" x14ac:dyDescent="0.3">
      <c r="A1623">
        <v>1622</v>
      </c>
      <c r="B1623" s="1">
        <v>46196</v>
      </c>
      <c r="C1623" s="2">
        <v>0.6020833333333333</v>
      </c>
      <c r="D1623" t="s">
        <v>8</v>
      </c>
      <c r="E1623" t="s">
        <v>9</v>
      </c>
      <c r="F1623">
        <v>129</v>
      </c>
      <c r="G1623" t="s">
        <v>35</v>
      </c>
      <c r="H1623" t="s">
        <v>392</v>
      </c>
    </row>
    <row r="1624" spans="1:8" x14ac:dyDescent="0.3">
      <c r="A1624">
        <v>1623</v>
      </c>
      <c r="B1624" s="1">
        <v>46197</v>
      </c>
      <c r="C1624" s="2">
        <v>0.65069444444444446</v>
      </c>
      <c r="D1624" t="s">
        <v>8</v>
      </c>
      <c r="E1624" t="s">
        <v>9</v>
      </c>
      <c r="F1624">
        <v>982</v>
      </c>
      <c r="G1624" t="s">
        <v>35</v>
      </c>
      <c r="H1624" t="s">
        <v>392</v>
      </c>
    </row>
    <row r="1625" spans="1:8" x14ac:dyDescent="0.3">
      <c r="A1625">
        <v>1624</v>
      </c>
      <c r="B1625" s="1">
        <v>46197</v>
      </c>
      <c r="C1625" s="2">
        <v>0.65138888888888891</v>
      </c>
      <c r="D1625" t="s">
        <v>16</v>
      </c>
      <c r="E1625" t="s">
        <v>9</v>
      </c>
      <c r="F1625">
        <v>400</v>
      </c>
      <c r="G1625" t="s">
        <v>17</v>
      </c>
      <c r="H1625" t="s">
        <v>392</v>
      </c>
    </row>
    <row r="1626" spans="1:8" x14ac:dyDescent="0.3">
      <c r="A1626">
        <v>1625</v>
      </c>
      <c r="B1626" s="1">
        <v>46197</v>
      </c>
      <c r="C1626" s="2">
        <v>0.65138888888888891</v>
      </c>
      <c r="D1626" t="s">
        <v>8</v>
      </c>
      <c r="E1626" t="s">
        <v>9</v>
      </c>
      <c r="F1626">
        <v>400</v>
      </c>
      <c r="G1626" t="s">
        <v>20</v>
      </c>
      <c r="H1626" t="s">
        <v>392</v>
      </c>
    </row>
    <row r="1627" spans="1:8" x14ac:dyDescent="0.3">
      <c r="A1627">
        <v>1626</v>
      </c>
      <c r="B1627" s="1">
        <v>46198</v>
      </c>
      <c r="C1627" s="2">
        <v>0.56736111111111109</v>
      </c>
      <c r="D1627" t="s">
        <v>8</v>
      </c>
      <c r="E1627" t="s">
        <v>9</v>
      </c>
      <c r="F1627">
        <v>2000</v>
      </c>
      <c r="G1627" t="s">
        <v>408</v>
      </c>
      <c r="H1627" t="s">
        <v>392</v>
      </c>
    </row>
    <row r="1628" spans="1:8" x14ac:dyDescent="0.3">
      <c r="A1628">
        <v>1627</v>
      </c>
      <c r="B1628" s="1">
        <v>46198</v>
      </c>
      <c r="C1628" s="2">
        <v>0.66388888888888886</v>
      </c>
      <c r="D1628" t="s">
        <v>8</v>
      </c>
      <c r="E1628" t="s">
        <v>9</v>
      </c>
      <c r="F1628">
        <v>2300</v>
      </c>
      <c r="G1628" t="s">
        <v>230</v>
      </c>
      <c r="H1628" t="s">
        <v>392</v>
      </c>
    </row>
    <row r="1629" spans="1:8" x14ac:dyDescent="0.3">
      <c r="A1629">
        <v>1628</v>
      </c>
      <c r="B1629" s="1">
        <v>46198</v>
      </c>
      <c r="C1629" s="2">
        <v>0.77708333333333335</v>
      </c>
      <c r="D1629" t="s">
        <v>8</v>
      </c>
      <c r="E1629" t="s">
        <v>9</v>
      </c>
      <c r="F1629">
        <v>1500</v>
      </c>
      <c r="G1629" t="s">
        <v>276</v>
      </c>
      <c r="H1629" t="s">
        <v>392</v>
      </c>
    </row>
    <row r="1630" spans="1:8" x14ac:dyDescent="0.3">
      <c r="A1630">
        <v>1629</v>
      </c>
      <c r="B1630" s="1">
        <v>46198</v>
      </c>
      <c r="C1630" s="2">
        <v>0.82013888888888886</v>
      </c>
      <c r="D1630" t="s">
        <v>8</v>
      </c>
      <c r="E1630" t="s">
        <v>9</v>
      </c>
      <c r="F1630">
        <v>1000</v>
      </c>
      <c r="G1630" t="s">
        <v>230</v>
      </c>
      <c r="H1630" t="s">
        <v>392</v>
      </c>
    </row>
    <row r="1631" spans="1:8" x14ac:dyDescent="0.3">
      <c r="A1631">
        <v>1630</v>
      </c>
      <c r="B1631" s="1">
        <v>46199</v>
      </c>
      <c r="C1631" s="2">
        <v>0.5083333333333333</v>
      </c>
      <c r="D1631" t="s">
        <v>22</v>
      </c>
      <c r="E1631" t="s">
        <v>23</v>
      </c>
      <c r="F1631">
        <v>1500</v>
      </c>
      <c r="G1631" t="s">
        <v>375</v>
      </c>
      <c r="H1631" t="s">
        <v>392</v>
      </c>
    </row>
    <row r="1632" spans="1:8" x14ac:dyDescent="0.3">
      <c r="A1632">
        <v>1631</v>
      </c>
      <c r="B1632" s="1">
        <v>46199</v>
      </c>
      <c r="C1632" s="2">
        <v>0.70138888888888884</v>
      </c>
      <c r="D1632" t="s">
        <v>8</v>
      </c>
      <c r="E1632" t="s">
        <v>9</v>
      </c>
      <c r="F1632">
        <v>730</v>
      </c>
      <c r="G1632" t="s">
        <v>409</v>
      </c>
      <c r="H1632" t="s">
        <v>392</v>
      </c>
    </row>
    <row r="1633" spans="1:8" x14ac:dyDescent="0.3">
      <c r="A1633">
        <v>1632</v>
      </c>
      <c r="B1633" s="1">
        <v>46199</v>
      </c>
      <c r="C1633" s="2">
        <v>0.81527777777777777</v>
      </c>
      <c r="D1633" t="s">
        <v>22</v>
      </c>
      <c r="E1633" t="s">
        <v>23</v>
      </c>
      <c r="F1633">
        <v>100</v>
      </c>
      <c r="G1633" t="s">
        <v>30</v>
      </c>
      <c r="H1633" t="s">
        <v>392</v>
      </c>
    </row>
    <row r="1634" spans="1:8" x14ac:dyDescent="0.3">
      <c r="A1634">
        <v>1633</v>
      </c>
      <c r="B1634" s="1">
        <v>46199</v>
      </c>
      <c r="C1634" s="2">
        <v>0.84027777777777779</v>
      </c>
      <c r="D1634" t="s">
        <v>8</v>
      </c>
      <c r="E1634" t="s">
        <v>9</v>
      </c>
      <c r="F1634">
        <v>110</v>
      </c>
      <c r="G1634" t="s">
        <v>74</v>
      </c>
      <c r="H1634" t="s">
        <v>392</v>
      </c>
    </row>
    <row r="1635" spans="1:8" x14ac:dyDescent="0.3">
      <c r="A1635">
        <v>1634</v>
      </c>
      <c r="B1635" s="1">
        <v>46199</v>
      </c>
      <c r="C1635" s="2">
        <v>0.84166666666666667</v>
      </c>
      <c r="D1635" t="s">
        <v>8</v>
      </c>
      <c r="E1635" t="s">
        <v>9</v>
      </c>
      <c r="F1635">
        <v>4800</v>
      </c>
      <c r="G1635" t="s">
        <v>20</v>
      </c>
      <c r="H1635" t="s">
        <v>392</v>
      </c>
    </row>
    <row r="1636" spans="1:8" x14ac:dyDescent="0.3">
      <c r="A1636">
        <v>1635</v>
      </c>
      <c r="B1636" s="1">
        <v>46199</v>
      </c>
      <c r="C1636" s="2">
        <v>0.90138888888888891</v>
      </c>
      <c r="D1636" t="s">
        <v>8</v>
      </c>
      <c r="E1636" t="s">
        <v>9</v>
      </c>
      <c r="F1636">
        <v>1000</v>
      </c>
      <c r="G1636" t="s">
        <v>230</v>
      </c>
      <c r="H1636" t="s">
        <v>392</v>
      </c>
    </row>
    <row r="1637" spans="1:8" x14ac:dyDescent="0.3">
      <c r="A1637">
        <v>1636</v>
      </c>
      <c r="B1637" s="1">
        <v>46200</v>
      </c>
      <c r="C1637" s="2">
        <v>0.38541666666666669</v>
      </c>
      <c r="D1637" t="s">
        <v>8</v>
      </c>
      <c r="E1637" t="s">
        <v>9</v>
      </c>
      <c r="F1637">
        <v>524</v>
      </c>
      <c r="G1637" t="s">
        <v>410</v>
      </c>
      <c r="H1637" t="s">
        <v>392</v>
      </c>
    </row>
    <row r="1638" spans="1:8" x14ac:dyDescent="0.3">
      <c r="A1638">
        <v>1637</v>
      </c>
      <c r="B1638" s="1">
        <v>46200</v>
      </c>
      <c r="C1638" s="2">
        <v>0.57430555555555551</v>
      </c>
      <c r="D1638" t="s">
        <v>8</v>
      </c>
      <c r="E1638" t="s">
        <v>9</v>
      </c>
      <c r="F1638">
        <v>400</v>
      </c>
      <c r="G1638" t="s">
        <v>375</v>
      </c>
      <c r="H1638" t="s">
        <v>392</v>
      </c>
    </row>
    <row r="1639" spans="1:8" x14ac:dyDescent="0.3">
      <c r="A1639">
        <v>1638</v>
      </c>
      <c r="B1639" s="1">
        <v>46200</v>
      </c>
      <c r="C1639" s="2">
        <v>0.58263888888888893</v>
      </c>
      <c r="D1639" t="s">
        <v>8</v>
      </c>
      <c r="E1639" t="s">
        <v>9</v>
      </c>
      <c r="F1639">
        <v>300</v>
      </c>
      <c r="G1639" t="s">
        <v>230</v>
      </c>
      <c r="H1639" t="s">
        <v>392</v>
      </c>
    </row>
    <row r="1640" spans="1:8" x14ac:dyDescent="0.3">
      <c r="A1640">
        <v>1639</v>
      </c>
      <c r="B1640" s="1">
        <v>46202</v>
      </c>
      <c r="C1640" s="2">
        <v>6.1805555555555558E-2</v>
      </c>
      <c r="D1640" t="s">
        <v>8</v>
      </c>
      <c r="E1640" t="s">
        <v>9</v>
      </c>
      <c r="F1640">
        <v>887</v>
      </c>
      <c r="G1640" t="s">
        <v>35</v>
      </c>
      <c r="H1640" t="s">
        <v>392</v>
      </c>
    </row>
    <row r="1641" spans="1:8" x14ac:dyDescent="0.3">
      <c r="A1641">
        <v>1640</v>
      </c>
      <c r="B1641" s="1">
        <v>46202</v>
      </c>
      <c r="C1641" s="2">
        <v>7.4305555555555555E-2</v>
      </c>
      <c r="D1641" t="s">
        <v>8</v>
      </c>
      <c r="E1641" t="s">
        <v>9</v>
      </c>
      <c r="F1641">
        <v>100</v>
      </c>
      <c r="G1641" t="s">
        <v>74</v>
      </c>
      <c r="H1641" t="s">
        <v>392</v>
      </c>
    </row>
    <row r="1642" spans="1:8" x14ac:dyDescent="0.3">
      <c r="A1642">
        <v>1641</v>
      </c>
      <c r="B1642" s="1">
        <v>46202</v>
      </c>
      <c r="C1642" s="2">
        <v>0.64027777777777772</v>
      </c>
      <c r="D1642" t="s">
        <v>22</v>
      </c>
      <c r="E1642" t="s">
        <v>23</v>
      </c>
      <c r="F1642">
        <v>1000</v>
      </c>
      <c r="G1642" t="s">
        <v>35</v>
      </c>
      <c r="H1642" t="s">
        <v>392</v>
      </c>
    </row>
    <row r="1643" spans="1:8" x14ac:dyDescent="0.3">
      <c r="A1643">
        <v>1642</v>
      </c>
      <c r="B1643" s="1">
        <v>46202</v>
      </c>
      <c r="C1643" s="2">
        <v>0.64027777777777772</v>
      </c>
      <c r="D1643" t="s">
        <v>22</v>
      </c>
      <c r="E1643" t="s">
        <v>23</v>
      </c>
      <c r="F1643">
        <v>69</v>
      </c>
      <c r="G1643" t="s">
        <v>35</v>
      </c>
      <c r="H1643" t="s">
        <v>392</v>
      </c>
    </row>
    <row r="1644" spans="1:8" x14ac:dyDescent="0.3">
      <c r="A1644">
        <v>1643</v>
      </c>
      <c r="B1644" s="1">
        <v>46202</v>
      </c>
      <c r="C1644" s="2">
        <v>0.64097222222222228</v>
      </c>
      <c r="D1644" t="s">
        <v>8</v>
      </c>
      <c r="E1644" t="s">
        <v>9</v>
      </c>
      <c r="F1644">
        <v>1069</v>
      </c>
      <c r="G1644" t="s">
        <v>35</v>
      </c>
      <c r="H1644" t="s">
        <v>392</v>
      </c>
    </row>
    <row r="1645" spans="1:8" x14ac:dyDescent="0.3">
      <c r="A1645">
        <v>1644</v>
      </c>
      <c r="B1645" s="1">
        <v>46202</v>
      </c>
      <c r="C1645" s="2">
        <v>0.74305555555555558</v>
      </c>
      <c r="D1645" t="s">
        <v>8</v>
      </c>
      <c r="E1645" t="s">
        <v>9</v>
      </c>
      <c r="F1645">
        <v>100</v>
      </c>
      <c r="G1645" t="s">
        <v>411</v>
      </c>
      <c r="H1645" t="s">
        <v>392</v>
      </c>
    </row>
    <row r="1646" spans="1:8" x14ac:dyDescent="0.3">
      <c r="A1646">
        <v>1645</v>
      </c>
      <c r="B1646" s="1">
        <v>46202</v>
      </c>
      <c r="C1646" s="2">
        <v>0.79722222222222228</v>
      </c>
      <c r="D1646" t="s">
        <v>8</v>
      </c>
      <c r="E1646" t="s">
        <v>9</v>
      </c>
      <c r="F1646">
        <v>2000</v>
      </c>
      <c r="G1646" t="s">
        <v>109</v>
      </c>
      <c r="H1646" t="s">
        <v>392</v>
      </c>
    </row>
    <row r="1647" spans="1:8" x14ac:dyDescent="0.3">
      <c r="A1647">
        <v>1646</v>
      </c>
      <c r="B1647" s="1">
        <v>46202</v>
      </c>
      <c r="C1647" s="2">
        <v>0.81805555555555554</v>
      </c>
      <c r="D1647" t="s">
        <v>22</v>
      </c>
      <c r="E1647" t="s">
        <v>23</v>
      </c>
      <c r="F1647">
        <v>1500</v>
      </c>
      <c r="G1647" t="s">
        <v>412</v>
      </c>
      <c r="H1647" t="s">
        <v>392</v>
      </c>
    </row>
    <row r="1648" spans="1:8" x14ac:dyDescent="0.3">
      <c r="A1648">
        <v>1647</v>
      </c>
      <c r="B1648" s="1">
        <v>46203</v>
      </c>
      <c r="C1648" s="2">
        <v>0.45624999999999999</v>
      </c>
      <c r="D1648" t="s">
        <v>8</v>
      </c>
      <c r="E1648" t="s">
        <v>9</v>
      </c>
      <c r="F1648">
        <v>5300</v>
      </c>
      <c r="G1648" t="s">
        <v>413</v>
      </c>
      <c r="H1648" t="s">
        <v>392</v>
      </c>
    </row>
    <row r="1649" spans="1:8" x14ac:dyDescent="0.3">
      <c r="A1649">
        <v>1648</v>
      </c>
      <c r="B1649" s="1">
        <v>46203</v>
      </c>
      <c r="C1649" s="2">
        <v>0.50694444444444442</v>
      </c>
      <c r="D1649" t="s">
        <v>8</v>
      </c>
      <c r="E1649" t="s">
        <v>9</v>
      </c>
      <c r="F1649">
        <v>2120</v>
      </c>
      <c r="G1649" t="s">
        <v>414</v>
      </c>
      <c r="H1649" t="s">
        <v>392</v>
      </c>
    </row>
    <row r="1650" spans="1:8" x14ac:dyDescent="0.3">
      <c r="A1650">
        <v>1649</v>
      </c>
      <c r="B1650" s="1">
        <v>46203</v>
      </c>
      <c r="C1650" s="2">
        <v>0.70902777777777781</v>
      </c>
      <c r="D1650" t="s">
        <v>22</v>
      </c>
      <c r="E1650" t="s">
        <v>23</v>
      </c>
      <c r="F1650">
        <v>1211</v>
      </c>
      <c r="G1650" t="s">
        <v>185</v>
      </c>
      <c r="H1650" t="s">
        <v>392</v>
      </c>
    </row>
    <row r="1651" spans="1:8" x14ac:dyDescent="0.3">
      <c r="A1651">
        <v>1650</v>
      </c>
      <c r="B1651" s="1">
        <v>46203</v>
      </c>
      <c r="C1651" s="2">
        <v>0.81458333333333333</v>
      </c>
      <c r="D1651" t="s">
        <v>8</v>
      </c>
      <c r="E1651" t="s">
        <v>9</v>
      </c>
      <c r="F1651">
        <v>2500</v>
      </c>
      <c r="G1651" t="s">
        <v>376</v>
      </c>
      <c r="H1651" t="s">
        <v>392</v>
      </c>
    </row>
    <row r="1652" spans="1:8" x14ac:dyDescent="0.3">
      <c r="A1652">
        <v>1651</v>
      </c>
      <c r="B1652" s="1">
        <v>46203</v>
      </c>
      <c r="C1652" s="2">
        <v>0.83472222222222225</v>
      </c>
      <c r="D1652" t="s">
        <v>22</v>
      </c>
      <c r="E1652" t="s">
        <v>23</v>
      </c>
      <c r="F1652">
        <v>500</v>
      </c>
      <c r="G1652" t="s">
        <v>412</v>
      </c>
      <c r="H1652" t="s">
        <v>392</v>
      </c>
    </row>
    <row r="1653" spans="1:8" x14ac:dyDescent="0.3">
      <c r="A1653">
        <v>1652</v>
      </c>
      <c r="B1653" s="1">
        <v>46203</v>
      </c>
      <c r="C1653" s="2">
        <v>0.89930555555555558</v>
      </c>
      <c r="D1653" t="s">
        <v>22</v>
      </c>
      <c r="E1653" t="s">
        <v>23</v>
      </c>
      <c r="F1653">
        <v>2000</v>
      </c>
      <c r="G1653" t="s">
        <v>415</v>
      </c>
      <c r="H1653" t="s">
        <v>392</v>
      </c>
    </row>
    <row r="1654" spans="1:8" x14ac:dyDescent="0.3">
      <c r="A1654">
        <v>1653</v>
      </c>
      <c r="B1654" s="1">
        <v>46203</v>
      </c>
      <c r="C1654" s="2">
        <v>0.90138888888888891</v>
      </c>
      <c r="D1654" t="s">
        <v>8</v>
      </c>
      <c r="E1654" t="s">
        <v>9</v>
      </c>
      <c r="F1654">
        <v>2000</v>
      </c>
      <c r="G1654" t="s">
        <v>156</v>
      </c>
      <c r="H1654" t="s">
        <v>392</v>
      </c>
    </row>
    <row r="1655" spans="1:8" x14ac:dyDescent="0.3">
      <c r="A1655">
        <v>1654</v>
      </c>
      <c r="B1655" s="1">
        <v>46204</v>
      </c>
      <c r="C1655" s="2">
        <v>0.85416666666666663</v>
      </c>
      <c r="D1655" t="s">
        <v>14</v>
      </c>
      <c r="E1655" t="s">
        <v>9</v>
      </c>
      <c r="F1655">
        <v>26</v>
      </c>
      <c r="G1655" t="s">
        <v>36</v>
      </c>
      <c r="H1655" t="s">
        <v>416</v>
      </c>
    </row>
    <row r="1656" spans="1:8" x14ac:dyDescent="0.3">
      <c r="A1656">
        <v>1655</v>
      </c>
      <c r="B1656" s="1">
        <v>46205</v>
      </c>
      <c r="C1656" s="2">
        <v>0.54583333333333328</v>
      </c>
      <c r="D1656" t="s">
        <v>22</v>
      </c>
      <c r="E1656" t="s">
        <v>23</v>
      </c>
      <c r="F1656">
        <v>24</v>
      </c>
      <c r="G1656" t="s">
        <v>156</v>
      </c>
      <c r="H1656" t="s">
        <v>416</v>
      </c>
    </row>
    <row r="1657" spans="1:8" x14ac:dyDescent="0.3">
      <c r="A1657">
        <v>1656</v>
      </c>
      <c r="B1657" s="1">
        <v>46205</v>
      </c>
      <c r="C1657" s="2">
        <v>0.54583333333333328</v>
      </c>
      <c r="D1657" t="s">
        <v>8</v>
      </c>
      <c r="E1657" t="s">
        <v>9</v>
      </c>
      <c r="F1657">
        <v>24</v>
      </c>
      <c r="G1657" t="s">
        <v>407</v>
      </c>
      <c r="H1657" t="s">
        <v>416</v>
      </c>
    </row>
    <row r="1658" spans="1:8" x14ac:dyDescent="0.3">
      <c r="A1658">
        <v>1657</v>
      </c>
      <c r="B1658" s="1">
        <v>46206</v>
      </c>
      <c r="C1658" s="2">
        <v>0.54652777777777772</v>
      </c>
      <c r="D1658" t="s">
        <v>8</v>
      </c>
      <c r="E1658" t="s">
        <v>9</v>
      </c>
      <c r="F1658">
        <v>500</v>
      </c>
      <c r="G1658" t="s">
        <v>417</v>
      </c>
      <c r="H1658" t="s">
        <v>416</v>
      </c>
    </row>
    <row r="1659" spans="1:8" x14ac:dyDescent="0.3">
      <c r="A1659">
        <v>1658</v>
      </c>
      <c r="B1659" s="1">
        <v>46206</v>
      </c>
      <c r="C1659" s="2">
        <v>0.84930555555555554</v>
      </c>
      <c r="D1659" t="s">
        <v>8</v>
      </c>
      <c r="E1659" t="s">
        <v>9</v>
      </c>
      <c r="F1659">
        <v>61</v>
      </c>
      <c r="G1659" t="s">
        <v>418</v>
      </c>
      <c r="H1659" t="s">
        <v>416</v>
      </c>
    </row>
    <row r="1660" spans="1:8" x14ac:dyDescent="0.3">
      <c r="A1660">
        <v>1659</v>
      </c>
      <c r="B1660" s="1">
        <v>46207</v>
      </c>
      <c r="C1660" s="2">
        <v>0.26805555555555555</v>
      </c>
      <c r="D1660" t="s">
        <v>8</v>
      </c>
      <c r="E1660" t="s">
        <v>9</v>
      </c>
      <c r="F1660">
        <v>100</v>
      </c>
      <c r="G1660" t="s">
        <v>419</v>
      </c>
      <c r="H1660" t="s">
        <v>416</v>
      </c>
    </row>
    <row r="1661" spans="1:8" x14ac:dyDescent="0.3">
      <c r="A1661">
        <v>1660</v>
      </c>
      <c r="B1661" s="1">
        <v>46207</v>
      </c>
      <c r="C1661" s="2">
        <v>0.51597222222222228</v>
      </c>
      <c r="D1661" t="s">
        <v>22</v>
      </c>
      <c r="E1661" t="s">
        <v>23</v>
      </c>
      <c r="F1661">
        <v>4930</v>
      </c>
      <c r="G1661" t="s">
        <v>185</v>
      </c>
      <c r="H1661" t="s">
        <v>416</v>
      </c>
    </row>
    <row r="1662" spans="1:8" x14ac:dyDescent="0.3">
      <c r="A1662">
        <v>1661</v>
      </c>
      <c r="B1662" s="1">
        <v>46207</v>
      </c>
      <c r="C1662" s="2">
        <v>0.51666666666666672</v>
      </c>
      <c r="D1662" t="s">
        <v>22</v>
      </c>
      <c r="E1662" t="s">
        <v>23</v>
      </c>
      <c r="F1662">
        <v>3578</v>
      </c>
      <c r="G1662" t="s">
        <v>185</v>
      </c>
      <c r="H1662" t="s">
        <v>416</v>
      </c>
    </row>
    <row r="1663" spans="1:8" x14ac:dyDescent="0.3">
      <c r="A1663">
        <v>1662</v>
      </c>
      <c r="B1663" s="1">
        <v>46207</v>
      </c>
      <c r="C1663" s="2">
        <v>0.5395833333333333</v>
      </c>
      <c r="D1663" t="s">
        <v>22</v>
      </c>
      <c r="E1663" t="s">
        <v>23</v>
      </c>
      <c r="F1663">
        <v>1000</v>
      </c>
      <c r="G1663" t="s">
        <v>156</v>
      </c>
      <c r="H1663" t="s">
        <v>416</v>
      </c>
    </row>
    <row r="1664" spans="1:8" x14ac:dyDescent="0.3">
      <c r="A1664">
        <v>1663</v>
      </c>
      <c r="B1664" s="1">
        <v>46207</v>
      </c>
      <c r="C1664" s="2">
        <v>0.5395833333333333</v>
      </c>
      <c r="D1664" t="s">
        <v>22</v>
      </c>
      <c r="E1664" t="s">
        <v>23</v>
      </c>
      <c r="F1664">
        <v>1000</v>
      </c>
      <c r="G1664" t="s">
        <v>156</v>
      </c>
      <c r="H1664" t="s">
        <v>416</v>
      </c>
    </row>
    <row r="1665" spans="1:8" x14ac:dyDescent="0.3">
      <c r="A1665">
        <v>1664</v>
      </c>
      <c r="B1665" s="1">
        <v>46207</v>
      </c>
      <c r="C1665" s="2">
        <v>0.55069444444444449</v>
      </c>
      <c r="D1665" t="s">
        <v>8</v>
      </c>
      <c r="E1665" t="s">
        <v>9</v>
      </c>
      <c r="F1665">
        <v>1141</v>
      </c>
      <c r="G1665" t="s">
        <v>20</v>
      </c>
      <c r="H1665" t="s">
        <v>416</v>
      </c>
    </row>
    <row r="1666" spans="1:8" x14ac:dyDescent="0.3">
      <c r="A1666">
        <v>1665</v>
      </c>
      <c r="B1666" s="1">
        <v>46207</v>
      </c>
      <c r="C1666" s="2">
        <v>0.55138888888888893</v>
      </c>
      <c r="D1666" t="s">
        <v>16</v>
      </c>
      <c r="E1666" t="s">
        <v>9</v>
      </c>
      <c r="F1666">
        <v>1141</v>
      </c>
      <c r="G1666" t="s">
        <v>17</v>
      </c>
      <c r="H1666" t="s">
        <v>416</v>
      </c>
    </row>
    <row r="1667" spans="1:8" x14ac:dyDescent="0.3">
      <c r="A1667">
        <v>1666</v>
      </c>
      <c r="B1667" s="1">
        <v>46207</v>
      </c>
      <c r="C1667" s="2">
        <v>0.57638888888888884</v>
      </c>
      <c r="D1667" t="s">
        <v>8</v>
      </c>
      <c r="E1667" t="s">
        <v>9</v>
      </c>
      <c r="F1667">
        <v>197</v>
      </c>
      <c r="G1667" t="s">
        <v>12</v>
      </c>
      <c r="H1667" t="s">
        <v>416</v>
      </c>
    </row>
    <row r="1668" spans="1:8" x14ac:dyDescent="0.3">
      <c r="A1668">
        <v>1667</v>
      </c>
      <c r="B1668" s="1">
        <v>46207</v>
      </c>
      <c r="C1668" s="2">
        <v>0.57708333333333328</v>
      </c>
      <c r="D1668" t="s">
        <v>22</v>
      </c>
      <c r="E1668" t="s">
        <v>23</v>
      </c>
      <c r="F1668">
        <v>197</v>
      </c>
      <c r="G1668" t="s">
        <v>12</v>
      </c>
      <c r="H1668" t="s">
        <v>416</v>
      </c>
    </row>
    <row r="1669" spans="1:8" x14ac:dyDescent="0.3">
      <c r="A1669">
        <v>1668</v>
      </c>
      <c r="B1669" s="1">
        <v>46207</v>
      </c>
      <c r="C1669" s="2">
        <v>0.81388888888888888</v>
      </c>
      <c r="D1669" t="s">
        <v>22</v>
      </c>
      <c r="E1669" t="s">
        <v>23</v>
      </c>
      <c r="F1669">
        <v>500</v>
      </c>
      <c r="G1669" t="s">
        <v>59</v>
      </c>
      <c r="H1669" t="s">
        <v>416</v>
      </c>
    </row>
    <row r="1670" spans="1:8" x14ac:dyDescent="0.3">
      <c r="A1670">
        <v>1669</v>
      </c>
      <c r="B1670" s="1">
        <v>46207</v>
      </c>
      <c r="C1670" s="2">
        <v>0.81458333333333333</v>
      </c>
      <c r="D1670" t="s">
        <v>8</v>
      </c>
      <c r="E1670" t="s">
        <v>9</v>
      </c>
      <c r="F1670">
        <v>350</v>
      </c>
      <c r="G1670" t="s">
        <v>225</v>
      </c>
      <c r="H1670" t="s">
        <v>416</v>
      </c>
    </row>
    <row r="1671" spans="1:8" x14ac:dyDescent="0.3">
      <c r="A1671">
        <v>1670</v>
      </c>
      <c r="B1671" s="1">
        <v>46208</v>
      </c>
      <c r="C1671" s="2">
        <v>0.32430555555555557</v>
      </c>
      <c r="D1671" t="s">
        <v>8</v>
      </c>
      <c r="E1671" t="s">
        <v>9</v>
      </c>
      <c r="F1671">
        <v>1200</v>
      </c>
      <c r="G1671" t="s">
        <v>420</v>
      </c>
      <c r="H1671" t="s">
        <v>416</v>
      </c>
    </row>
    <row r="1672" spans="1:8" x14ac:dyDescent="0.3">
      <c r="A1672">
        <v>1671</v>
      </c>
      <c r="B1672" s="1">
        <v>46208</v>
      </c>
      <c r="C1672" s="2">
        <v>0.34722222222222221</v>
      </c>
      <c r="D1672" t="s">
        <v>8</v>
      </c>
      <c r="E1672" t="s">
        <v>9</v>
      </c>
      <c r="F1672">
        <v>300</v>
      </c>
      <c r="G1672" t="s">
        <v>420</v>
      </c>
      <c r="H1672" t="s">
        <v>416</v>
      </c>
    </row>
    <row r="1673" spans="1:8" x14ac:dyDescent="0.3">
      <c r="A1673">
        <v>1672</v>
      </c>
      <c r="B1673" s="1">
        <v>46208</v>
      </c>
      <c r="C1673" s="2">
        <v>0.53541666666666665</v>
      </c>
      <c r="D1673" t="s">
        <v>8</v>
      </c>
      <c r="E1673" t="s">
        <v>9</v>
      </c>
      <c r="F1673">
        <v>9320</v>
      </c>
      <c r="G1673" t="s">
        <v>411</v>
      </c>
      <c r="H1673" t="s">
        <v>416</v>
      </c>
    </row>
    <row r="1674" spans="1:8" x14ac:dyDescent="0.3">
      <c r="A1674">
        <v>1673</v>
      </c>
      <c r="B1674" s="1">
        <v>46208</v>
      </c>
      <c r="C1674" s="2">
        <v>0.93125000000000002</v>
      </c>
      <c r="D1674" t="s">
        <v>8</v>
      </c>
      <c r="E1674" t="s">
        <v>9</v>
      </c>
      <c r="F1674">
        <v>500</v>
      </c>
      <c r="G1674" t="s">
        <v>375</v>
      </c>
      <c r="H1674" t="s">
        <v>416</v>
      </c>
    </row>
    <row r="1675" spans="1:8" x14ac:dyDescent="0.3">
      <c r="A1675">
        <v>1674</v>
      </c>
      <c r="B1675" s="1">
        <v>46209</v>
      </c>
      <c r="C1675" s="2">
        <v>1.7361111111111112E-2</v>
      </c>
      <c r="D1675" t="s">
        <v>8</v>
      </c>
      <c r="E1675" t="s">
        <v>9</v>
      </c>
      <c r="F1675">
        <v>100</v>
      </c>
      <c r="G1675" t="s">
        <v>12</v>
      </c>
      <c r="H1675" t="s">
        <v>416</v>
      </c>
    </row>
    <row r="1676" spans="1:8" x14ac:dyDescent="0.3">
      <c r="A1676">
        <v>1675</v>
      </c>
      <c r="B1676" s="1">
        <v>46209</v>
      </c>
      <c r="C1676" s="2">
        <v>0.38194444444444442</v>
      </c>
      <c r="D1676" t="s">
        <v>8</v>
      </c>
      <c r="E1676" t="s">
        <v>9</v>
      </c>
      <c r="F1676">
        <v>50</v>
      </c>
      <c r="G1676" t="s">
        <v>68</v>
      </c>
      <c r="H1676" t="s">
        <v>416</v>
      </c>
    </row>
    <row r="1677" spans="1:8" x14ac:dyDescent="0.3">
      <c r="A1677">
        <v>1676</v>
      </c>
      <c r="B1677" s="1">
        <v>46209</v>
      </c>
      <c r="C1677" s="2">
        <v>0.54652777777777772</v>
      </c>
      <c r="D1677" t="s">
        <v>8</v>
      </c>
      <c r="E1677" t="s">
        <v>9</v>
      </c>
      <c r="F1677">
        <v>20</v>
      </c>
      <c r="G1677" t="s">
        <v>421</v>
      </c>
      <c r="H1677" t="s">
        <v>416</v>
      </c>
    </row>
    <row r="1678" spans="1:8" x14ac:dyDescent="0.3">
      <c r="A1678">
        <v>1677</v>
      </c>
      <c r="B1678" s="1">
        <v>46210</v>
      </c>
      <c r="C1678" s="2">
        <v>0.66041666666666665</v>
      </c>
      <c r="D1678" t="s">
        <v>22</v>
      </c>
      <c r="E1678" t="s">
        <v>23</v>
      </c>
      <c r="F1678">
        <v>300</v>
      </c>
      <c r="G1678" t="s">
        <v>422</v>
      </c>
      <c r="H1678" t="s">
        <v>416</v>
      </c>
    </row>
    <row r="1679" spans="1:8" x14ac:dyDescent="0.3">
      <c r="A1679">
        <v>1678</v>
      </c>
      <c r="B1679" s="1">
        <v>46210</v>
      </c>
      <c r="C1679" s="2">
        <v>0.72152777777777777</v>
      </c>
      <c r="D1679" t="s">
        <v>22</v>
      </c>
      <c r="E1679" t="s">
        <v>23</v>
      </c>
      <c r="F1679">
        <v>3500</v>
      </c>
      <c r="G1679" t="s">
        <v>423</v>
      </c>
      <c r="H1679" t="s">
        <v>416</v>
      </c>
    </row>
    <row r="1680" spans="1:8" x14ac:dyDescent="0.3">
      <c r="A1680">
        <v>1679</v>
      </c>
      <c r="B1680" s="1">
        <v>46210</v>
      </c>
      <c r="C1680" s="2">
        <v>0.93541666666666667</v>
      </c>
      <c r="D1680" t="s">
        <v>22</v>
      </c>
      <c r="E1680" t="s">
        <v>23</v>
      </c>
      <c r="F1680">
        <v>240</v>
      </c>
      <c r="G1680" t="s">
        <v>424</v>
      </c>
      <c r="H1680" t="s">
        <v>416</v>
      </c>
    </row>
    <row r="1681" spans="1:8" x14ac:dyDescent="0.3">
      <c r="A1681">
        <v>1680</v>
      </c>
      <c r="B1681" s="1">
        <v>46210</v>
      </c>
      <c r="C1681" s="2">
        <v>0.96111111111111114</v>
      </c>
      <c r="D1681" t="s">
        <v>22</v>
      </c>
      <c r="E1681" t="s">
        <v>23</v>
      </c>
      <c r="F1681">
        <v>2500</v>
      </c>
      <c r="G1681" t="s">
        <v>74</v>
      </c>
      <c r="H1681" t="s">
        <v>416</v>
      </c>
    </row>
    <row r="1682" spans="1:8" x14ac:dyDescent="0.3">
      <c r="A1682">
        <v>1681</v>
      </c>
      <c r="B1682" s="1">
        <v>46210</v>
      </c>
      <c r="C1682" s="2">
        <v>0.96458333333333335</v>
      </c>
      <c r="D1682" t="s">
        <v>8</v>
      </c>
      <c r="E1682" t="s">
        <v>9</v>
      </c>
      <c r="F1682">
        <v>220</v>
      </c>
      <c r="G1682" t="s">
        <v>74</v>
      </c>
      <c r="H1682" t="s">
        <v>416</v>
      </c>
    </row>
    <row r="1683" spans="1:8" x14ac:dyDescent="0.3">
      <c r="A1683">
        <v>1682</v>
      </c>
      <c r="B1683" s="1">
        <v>46210</v>
      </c>
      <c r="C1683" s="2">
        <v>0.96527777777777779</v>
      </c>
      <c r="D1683" t="s">
        <v>8</v>
      </c>
      <c r="E1683" t="s">
        <v>9</v>
      </c>
      <c r="F1683">
        <v>2500</v>
      </c>
      <c r="G1683" t="s">
        <v>20</v>
      </c>
      <c r="H1683" t="s">
        <v>416</v>
      </c>
    </row>
    <row r="1684" spans="1:8" x14ac:dyDescent="0.3">
      <c r="A1684">
        <v>1683</v>
      </c>
      <c r="B1684" s="1">
        <v>46210</v>
      </c>
      <c r="C1684" s="2">
        <v>0.96527777777777779</v>
      </c>
      <c r="D1684" t="s">
        <v>8</v>
      </c>
      <c r="E1684" t="s">
        <v>9</v>
      </c>
      <c r="F1684">
        <v>6000</v>
      </c>
      <c r="G1684" t="s">
        <v>156</v>
      </c>
      <c r="H1684" t="s">
        <v>416</v>
      </c>
    </row>
    <row r="1685" spans="1:8" x14ac:dyDescent="0.3">
      <c r="A1685">
        <v>1684</v>
      </c>
      <c r="B1685" s="1">
        <v>46211</v>
      </c>
      <c r="C1685" s="2">
        <v>0.22291666666666668</v>
      </c>
      <c r="D1685" t="s">
        <v>8</v>
      </c>
      <c r="E1685" t="s">
        <v>9</v>
      </c>
      <c r="F1685">
        <v>500</v>
      </c>
      <c r="G1685" t="s">
        <v>74</v>
      </c>
      <c r="H1685" t="s">
        <v>416</v>
      </c>
    </row>
    <row r="1686" spans="1:8" x14ac:dyDescent="0.3">
      <c r="A1686">
        <v>1685</v>
      </c>
      <c r="B1686" s="1">
        <v>46211</v>
      </c>
      <c r="C1686" s="2">
        <v>0.46736111111111112</v>
      </c>
      <c r="D1686" t="s">
        <v>22</v>
      </c>
      <c r="E1686" t="s">
        <v>23</v>
      </c>
      <c r="F1686">
        <v>500</v>
      </c>
      <c r="G1686" t="s">
        <v>156</v>
      </c>
      <c r="H1686" t="s">
        <v>416</v>
      </c>
    </row>
    <row r="1687" spans="1:8" x14ac:dyDescent="0.3">
      <c r="A1687">
        <v>1686</v>
      </c>
      <c r="B1687" s="1">
        <v>46211</v>
      </c>
      <c r="C1687" s="2">
        <v>0.80833333333333335</v>
      </c>
      <c r="D1687" t="s">
        <v>8</v>
      </c>
      <c r="E1687" t="s">
        <v>9</v>
      </c>
      <c r="F1687">
        <v>20</v>
      </c>
      <c r="G1687" t="s">
        <v>74</v>
      </c>
      <c r="H1687" t="s">
        <v>416</v>
      </c>
    </row>
    <row r="1688" spans="1:8" x14ac:dyDescent="0.3">
      <c r="A1688">
        <v>1687</v>
      </c>
      <c r="B1688" s="1">
        <v>46212</v>
      </c>
      <c r="C1688" s="2">
        <v>1.7361111111111112E-2</v>
      </c>
      <c r="D1688" t="s">
        <v>16</v>
      </c>
      <c r="E1688" t="s">
        <v>9</v>
      </c>
      <c r="F1688">
        <v>500</v>
      </c>
      <c r="G1688" t="s">
        <v>17</v>
      </c>
      <c r="H1688" t="s">
        <v>416</v>
      </c>
    </row>
    <row r="1689" spans="1:8" x14ac:dyDescent="0.3">
      <c r="A1689">
        <v>1688</v>
      </c>
      <c r="B1689" s="1">
        <v>46212</v>
      </c>
      <c r="C1689" s="2">
        <v>1.8749999999999999E-2</v>
      </c>
      <c r="D1689" t="s">
        <v>8</v>
      </c>
      <c r="E1689" t="s">
        <v>9</v>
      </c>
      <c r="F1689">
        <v>965</v>
      </c>
      <c r="G1689" t="s">
        <v>20</v>
      </c>
      <c r="H1689" t="s">
        <v>416</v>
      </c>
    </row>
    <row r="1690" spans="1:8" x14ac:dyDescent="0.3">
      <c r="A1690">
        <v>1689</v>
      </c>
      <c r="B1690" s="1">
        <v>46212</v>
      </c>
      <c r="C1690" s="2">
        <v>0.91180555555555554</v>
      </c>
      <c r="D1690" t="s">
        <v>16</v>
      </c>
      <c r="E1690" t="s">
        <v>9</v>
      </c>
      <c r="F1690">
        <v>300</v>
      </c>
      <c r="G1690" t="s">
        <v>17</v>
      </c>
      <c r="H1690" t="s">
        <v>416</v>
      </c>
    </row>
    <row r="1691" spans="1:8" x14ac:dyDescent="0.3">
      <c r="A1691">
        <v>1690</v>
      </c>
      <c r="B1691" s="1">
        <v>46212</v>
      </c>
      <c r="C1691" s="2">
        <v>0.91319444444444442</v>
      </c>
      <c r="D1691" t="s">
        <v>22</v>
      </c>
      <c r="E1691" t="s">
        <v>23</v>
      </c>
      <c r="F1691">
        <v>500</v>
      </c>
      <c r="G1691" t="s">
        <v>282</v>
      </c>
      <c r="H1691" t="s">
        <v>416</v>
      </c>
    </row>
    <row r="1692" spans="1:8" x14ac:dyDescent="0.3">
      <c r="A1692">
        <v>1691</v>
      </c>
      <c r="B1692" s="1">
        <v>46212</v>
      </c>
      <c r="C1692" s="2">
        <v>0.91388888888888886</v>
      </c>
      <c r="D1692" t="s">
        <v>8</v>
      </c>
      <c r="E1692" t="s">
        <v>9</v>
      </c>
      <c r="F1692">
        <v>500</v>
      </c>
      <c r="G1692" t="s">
        <v>282</v>
      </c>
      <c r="H1692" t="s">
        <v>416</v>
      </c>
    </row>
    <row r="1693" spans="1:8" x14ac:dyDescent="0.3">
      <c r="A1693">
        <v>1692</v>
      </c>
      <c r="B1693" s="1">
        <v>46213</v>
      </c>
      <c r="C1693" s="2">
        <v>0.77430555555555558</v>
      </c>
      <c r="D1693" t="s">
        <v>8</v>
      </c>
      <c r="E1693" t="s">
        <v>9</v>
      </c>
      <c r="F1693">
        <v>118</v>
      </c>
      <c r="G1693" t="s">
        <v>401</v>
      </c>
      <c r="H1693" t="s">
        <v>416</v>
      </c>
    </row>
    <row r="1694" spans="1:8" x14ac:dyDescent="0.3">
      <c r="A1694">
        <v>1693</v>
      </c>
      <c r="B1694" s="1">
        <v>46213</v>
      </c>
      <c r="C1694" s="2">
        <v>0.88749999999999996</v>
      </c>
      <c r="D1694" t="s">
        <v>38</v>
      </c>
      <c r="E1694" t="s">
        <v>9</v>
      </c>
      <c r="F1694">
        <v>200</v>
      </c>
      <c r="G1694" t="s">
        <v>425</v>
      </c>
      <c r="H1694" t="s">
        <v>416</v>
      </c>
    </row>
    <row r="1695" spans="1:8" x14ac:dyDescent="0.3">
      <c r="A1695">
        <v>1694</v>
      </c>
      <c r="B1695" s="1">
        <v>46213</v>
      </c>
      <c r="C1695" s="2">
        <v>0.90555555555555556</v>
      </c>
      <c r="D1695" t="s">
        <v>38</v>
      </c>
      <c r="E1695" t="s">
        <v>9</v>
      </c>
      <c r="F1695">
        <v>90</v>
      </c>
      <c r="G1695" t="s">
        <v>425</v>
      </c>
      <c r="H1695" t="s">
        <v>416</v>
      </c>
    </row>
    <row r="1696" spans="1:8" x14ac:dyDescent="0.3">
      <c r="A1696">
        <v>1695</v>
      </c>
      <c r="B1696" s="1">
        <v>46213</v>
      </c>
      <c r="C1696" s="2">
        <v>0.91874999999999996</v>
      </c>
      <c r="D1696" t="s">
        <v>38</v>
      </c>
      <c r="E1696" t="s">
        <v>9</v>
      </c>
      <c r="F1696">
        <v>45</v>
      </c>
      <c r="G1696" t="s">
        <v>425</v>
      </c>
      <c r="H1696" t="s">
        <v>416</v>
      </c>
    </row>
    <row r="1697" spans="1:8" x14ac:dyDescent="0.3">
      <c r="A1697">
        <v>1696</v>
      </c>
      <c r="B1697" s="1">
        <v>46214</v>
      </c>
      <c r="C1697" s="2">
        <v>0.6020833333333333</v>
      </c>
      <c r="D1697" t="s">
        <v>8</v>
      </c>
      <c r="E1697" t="s">
        <v>9</v>
      </c>
      <c r="F1697">
        <v>12</v>
      </c>
      <c r="G1697" t="s">
        <v>426</v>
      </c>
      <c r="H1697" t="s">
        <v>416</v>
      </c>
    </row>
    <row r="1698" spans="1:8" x14ac:dyDescent="0.3">
      <c r="A1698">
        <v>1697</v>
      </c>
      <c r="B1698" s="1">
        <v>46214</v>
      </c>
      <c r="C1698" s="2">
        <v>0.6381944444444444</v>
      </c>
      <c r="D1698" t="s">
        <v>8</v>
      </c>
      <c r="E1698" t="s">
        <v>9</v>
      </c>
      <c r="F1698">
        <v>100</v>
      </c>
      <c r="G1698" t="s">
        <v>74</v>
      </c>
      <c r="H1698" t="s">
        <v>416</v>
      </c>
    </row>
    <row r="1699" spans="1:8" x14ac:dyDescent="0.3">
      <c r="A1699">
        <v>1698</v>
      </c>
      <c r="B1699" s="1">
        <v>46214</v>
      </c>
      <c r="C1699" s="2">
        <v>0.6479166666666667</v>
      </c>
      <c r="D1699" t="s">
        <v>22</v>
      </c>
      <c r="E1699" t="s">
        <v>23</v>
      </c>
      <c r="F1699">
        <v>335</v>
      </c>
      <c r="G1699" t="s">
        <v>29</v>
      </c>
      <c r="H1699" t="s">
        <v>416</v>
      </c>
    </row>
    <row r="1700" spans="1:8" x14ac:dyDescent="0.3">
      <c r="A1700">
        <v>1699</v>
      </c>
      <c r="B1700" s="1">
        <v>46215</v>
      </c>
      <c r="C1700" s="2">
        <v>0.84305555555555556</v>
      </c>
      <c r="D1700" t="s">
        <v>38</v>
      </c>
      <c r="E1700" t="s">
        <v>9</v>
      </c>
      <c r="F1700">
        <v>550</v>
      </c>
      <c r="G1700" t="s">
        <v>425</v>
      </c>
      <c r="H1700" t="s">
        <v>416</v>
      </c>
    </row>
    <row r="1701" spans="1:8" x14ac:dyDescent="0.3">
      <c r="A1701">
        <v>1700</v>
      </c>
      <c r="B1701" s="1">
        <v>46215</v>
      </c>
      <c r="C1701" s="2">
        <v>0.86319444444444449</v>
      </c>
      <c r="D1701" t="s">
        <v>22</v>
      </c>
      <c r="E1701" t="s">
        <v>23</v>
      </c>
      <c r="F1701">
        <v>1000</v>
      </c>
      <c r="G1701" t="s">
        <v>113</v>
      </c>
      <c r="H1701" t="s">
        <v>416</v>
      </c>
    </row>
    <row r="1702" spans="1:8" x14ac:dyDescent="0.3">
      <c r="A1702">
        <v>1701</v>
      </c>
      <c r="B1702" s="1">
        <v>46215</v>
      </c>
      <c r="C1702" s="2">
        <v>0.86527777777777781</v>
      </c>
      <c r="D1702" t="s">
        <v>38</v>
      </c>
      <c r="E1702" t="s">
        <v>9</v>
      </c>
      <c r="F1702">
        <v>165</v>
      </c>
      <c r="G1702" t="s">
        <v>425</v>
      </c>
      <c r="H1702" t="s">
        <v>416</v>
      </c>
    </row>
    <row r="1703" spans="1:8" x14ac:dyDescent="0.3">
      <c r="A1703">
        <v>1702</v>
      </c>
      <c r="B1703" s="1">
        <v>46215</v>
      </c>
      <c r="C1703" s="2">
        <v>0.86736111111111114</v>
      </c>
      <c r="D1703" t="s">
        <v>8</v>
      </c>
      <c r="E1703" t="s">
        <v>9</v>
      </c>
      <c r="F1703">
        <v>1000</v>
      </c>
      <c r="G1703" t="s">
        <v>156</v>
      </c>
      <c r="H1703" t="s">
        <v>416</v>
      </c>
    </row>
    <row r="1704" spans="1:8" x14ac:dyDescent="0.3">
      <c r="A1704">
        <v>1703</v>
      </c>
      <c r="B1704" s="1">
        <v>46215</v>
      </c>
      <c r="C1704" s="2">
        <v>0.8881944444444444</v>
      </c>
      <c r="D1704" t="s">
        <v>8</v>
      </c>
      <c r="E1704" t="s">
        <v>9</v>
      </c>
      <c r="F1704">
        <v>480</v>
      </c>
      <c r="G1704" t="s">
        <v>427</v>
      </c>
      <c r="H1704" t="s">
        <v>416</v>
      </c>
    </row>
    <row r="1705" spans="1:8" x14ac:dyDescent="0.3">
      <c r="A1705">
        <v>1704</v>
      </c>
      <c r="B1705" s="1">
        <v>46216</v>
      </c>
      <c r="C1705" s="2">
        <v>0.53611111111111109</v>
      </c>
      <c r="D1705" t="s">
        <v>8</v>
      </c>
      <c r="E1705" t="s">
        <v>9</v>
      </c>
      <c r="F1705">
        <v>196</v>
      </c>
      <c r="G1705" t="s">
        <v>428</v>
      </c>
      <c r="H1705" t="s">
        <v>416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362E-8656-485A-9822-2D8EDF237AE7}">
  <dimension ref="A1:B19"/>
  <sheetViews>
    <sheetView workbookViewId="0">
      <selection activeCell="J4" sqref="J4"/>
    </sheetView>
  </sheetViews>
  <sheetFormatPr defaultRowHeight="14.4" x14ac:dyDescent="0.3"/>
  <cols>
    <col min="1" max="1" width="27.5546875" bestFit="1" customWidth="1"/>
    <col min="2" max="2" width="12" bestFit="1" customWidth="1"/>
  </cols>
  <sheetData>
    <row r="1" spans="1:2" x14ac:dyDescent="0.3">
      <c r="A1" t="s">
        <v>429</v>
      </c>
    </row>
    <row r="3" spans="1:2" x14ac:dyDescent="0.3">
      <c r="A3" t="s">
        <v>430</v>
      </c>
      <c r="B3">
        <f>SUMIF(upi_transactions_for_excel!E:E,"Debit",upi_transactions_for_excel!F:F)</f>
        <v>1784317.6400000001</v>
      </c>
    </row>
    <row r="4" spans="1:2" x14ac:dyDescent="0.3">
      <c r="A4" t="s">
        <v>431</v>
      </c>
      <c r="B4">
        <f>SUMIF(upi_transactions_for_excel!E:E,"Credit",upi_transactions_for_excel!F:F)</f>
        <v>1214016.9100000001</v>
      </c>
    </row>
    <row r="5" spans="1:2" x14ac:dyDescent="0.3">
      <c r="A5" t="s">
        <v>432</v>
      </c>
      <c r="B5">
        <f>B4-B3</f>
        <v>-570300.73</v>
      </c>
    </row>
    <row r="6" spans="1:2" x14ac:dyDescent="0.3">
      <c r="A6" t="s">
        <v>433</v>
      </c>
      <c r="B6">
        <f>COUNTA(upi_transactions_for_excel!A:A)-1</f>
        <v>1704</v>
      </c>
    </row>
    <row r="7" spans="1:2" x14ac:dyDescent="0.3">
      <c r="A7" t="s">
        <v>434</v>
      </c>
      <c r="B7">
        <f>AVERAGE(upi_transactions_for_excel!F:F)</f>
        <v>1759.5860035211269</v>
      </c>
    </row>
    <row r="10" spans="1:2" x14ac:dyDescent="0.3">
      <c r="A10" t="s">
        <v>435</v>
      </c>
    </row>
    <row r="11" spans="1:2" x14ac:dyDescent="0.3">
      <c r="A11" t="s">
        <v>436</v>
      </c>
      <c r="B11" t="s">
        <v>437</v>
      </c>
    </row>
    <row r="12" spans="1:2" x14ac:dyDescent="0.3">
      <c r="A12" t="s">
        <v>8</v>
      </c>
      <c r="B12">
        <f>SUMIFS(upi_transactions_for_excel!F:F,upi_transactions_for_excel!D:D,A12,upi_transactions_for_excel!E:E,"Debit")</f>
        <v>1472397.68</v>
      </c>
    </row>
    <row r="13" spans="1:2" x14ac:dyDescent="0.3">
      <c r="A13" t="s">
        <v>18</v>
      </c>
      <c r="B13">
        <f>SUMIFS(upi_transactions_for_excel!F:F,upi_transactions_for_excel!D:D,A13,upi_transactions_for_excel!E:E,"Debit")</f>
        <v>260868</v>
      </c>
    </row>
    <row r="14" spans="1:2" x14ac:dyDescent="0.3">
      <c r="A14" t="s">
        <v>16</v>
      </c>
      <c r="B14">
        <f>SUMIFS(upi_transactions_for_excel!F:F,upi_transactions_for_excel!D:D,A14,upi_transactions_for_excel!E:E,"Debit")</f>
        <v>37485</v>
      </c>
    </row>
    <row r="15" spans="1:2" x14ac:dyDescent="0.3">
      <c r="A15" t="s">
        <v>38</v>
      </c>
      <c r="B15">
        <f>SUMIFS(upi_transactions_for_excel!F:F,upi_transactions_for_excel!D:D,A15,upi_transactions_for_excel!E:E,"Debit")</f>
        <v>5963.96</v>
      </c>
    </row>
    <row r="16" spans="1:2" x14ac:dyDescent="0.3">
      <c r="A16" t="s">
        <v>14</v>
      </c>
      <c r="B16">
        <f>SUMIFS(upi_transactions_for_excel!F:F,upi_transactions_for_excel!D:D,A16,upi_transactions_for_excel!E:E,"Debit")</f>
        <v>3157</v>
      </c>
    </row>
    <row r="17" spans="1:2" x14ac:dyDescent="0.3">
      <c r="A17" t="s">
        <v>49</v>
      </c>
      <c r="B17">
        <f>SUMIFS(upi_transactions_for_excel!F:F,upi_transactions_for_excel!D:D,A17,upi_transactions_for_excel!E:E,"Debit")</f>
        <v>2818</v>
      </c>
    </row>
    <row r="18" spans="1:2" x14ac:dyDescent="0.3">
      <c r="A18" t="s">
        <v>27</v>
      </c>
      <c r="B18">
        <f>SUMIFS(upi_transactions_for_excel!F:F,upi_transactions_for_excel!D:D,A18,upi_transactions_for_excel!E:E,"Debit")</f>
        <v>1309</v>
      </c>
    </row>
    <row r="19" spans="1:2" x14ac:dyDescent="0.3">
      <c r="A19" t="s">
        <v>263</v>
      </c>
      <c r="B19">
        <f>SUMIFS(upi_transactions_for_excel!F:F,upi_transactions_for_excel!D:D,A19,upi_transactions_for_excel!E:E,"Debit")</f>
        <v>319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Monthly_Trend</vt:lpstr>
      <vt:lpstr>upi_transactions_for_excel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Naik</dc:creator>
  <cp:lastModifiedBy>Ramya Umesh Naik</cp:lastModifiedBy>
  <dcterms:created xsi:type="dcterms:W3CDTF">2026-07-22T05:16:27Z</dcterms:created>
  <dcterms:modified xsi:type="dcterms:W3CDTF">2026-07-22T07:14:24Z</dcterms:modified>
</cp:coreProperties>
</file>